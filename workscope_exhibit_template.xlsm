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dknudsen\Desktop\GitHub\workscope-exhibit-tool\workscope-exhibit-tool\"/>
    </mc:Choice>
  </mc:AlternateContent>
  <bookViews>
    <workbookView xWindow="-15" yWindow="-15" windowWidth="15315" windowHeight="9090"/>
  </bookViews>
  <sheets>
    <sheet name="workscope_exhibits" sheetId="1" r:id="rId1"/>
    <sheet name="LookUps" sheetId="2" r:id="rId2"/>
    <sheet name="prior_salary_schedules" sheetId="3" r:id="rId3"/>
  </sheets>
  <definedNames>
    <definedName name="direct_salary_cell">workscope_exhibits!$S$9</definedName>
    <definedName name="direct_salary_column">workscope_exhibits!$P$12</definedName>
    <definedName name="first_schedule_column">workscope_exhibits!$W$10</definedName>
    <definedName name="funding_list_bottom">workscope_exhibits!$B$42</definedName>
    <definedName name="funding_list_top">workscope_exhibits!$B$39</definedName>
    <definedName name="last_schedule_column">workscope_exhibits!$DO$10</definedName>
    <definedName name="m1_column">workscope_exhibits!$F$12</definedName>
    <definedName name="milestone_label_column">workscope_exhibits!$U$25</definedName>
    <definedName name="milestone_list_first_row">workscope_exhibits!$T$27</definedName>
    <definedName name="milestone_name_column">workscope_exhibits!$V$10</definedName>
    <definedName name="odc_cell">workscope_exhibits!$S$27</definedName>
    <definedName name="odc_consultants_line">workscope_exhibits!$B$32</definedName>
    <definedName name="odc_dp_equipment_line">workscope_exhibits!$B$31</definedName>
    <definedName name="odc_office_equipment_line">workscope_exhibits!$B$30</definedName>
    <definedName name="odc_other_line">workscope_exhibits!$B$34</definedName>
    <definedName name="odc_printing_line">workscope_exhibits!$B$33</definedName>
    <definedName name="odc_travel_line">workscope_exhibits!$B$29</definedName>
    <definedName name="Overhead">workscope_exhibits!$D$51</definedName>
    <definedName name="overhead_cell">workscope_exhibits!$Q$12</definedName>
    <definedName name="overhead_column">workscope_exhibits!$Q$12</definedName>
    <definedName name="p1_column">workscope_exhibits!$K$12</definedName>
    <definedName name="p2_column">workscope_exhibits!$J$12</definedName>
    <definedName name="p3_column">workscope_exhibits!$I$12</definedName>
    <definedName name="p4_column">workscope_exhibits!$H$12</definedName>
    <definedName name="p5_column">workscope_exhibits!$G$12</definedName>
    <definedName name="_xlnm.Print_Area" localSheetId="0">workscope_exhibits!$B$5:$DN$41</definedName>
    <definedName name="project_name_cell">workscope_exhibits!$B$7</definedName>
    <definedName name="Salary">workscope_exhibits!$N$56:$O$64</definedName>
    <definedName name="sched_major_units_cell">workscope_exhibits!$W$11</definedName>
    <definedName name="sp1_column">workscope_exhibits!$M$12</definedName>
    <definedName name="sp3_column">workscope_exhibits!$L$12</definedName>
    <definedName name="task_list_bottom">workscope_exhibits!$B$24</definedName>
    <definedName name="task_list_top">workscope_exhibits!$B$13</definedName>
    <definedName name="task_name_column">workscope_exhibits!$C$10</definedName>
    <definedName name="task_number_column">workscope_exhibits!$B$9</definedName>
    <definedName name="temp_column">workscope_exhibits!$N$12</definedName>
    <definedName name="total_column">workscope_exhibits!$O$12</definedName>
    <definedName name="total_cost_cell">workscope_exhibits!$S$36</definedName>
    <definedName name="total_cost_column">workscope_exhibits!$R$12</definedName>
    <definedName name="total_line">workscope_exhibits!$B$25</definedName>
  </definedNames>
  <calcPr calcId="162913"/>
</workbook>
</file>

<file path=xl/calcChain.xml><?xml version="1.0" encoding="utf-8"?>
<calcChain xmlns="http://schemas.openxmlformats.org/spreadsheetml/2006/main">
  <c r="N16" i="3" l="1"/>
  <c r="N15" i="3"/>
  <c r="N14" i="3"/>
  <c r="N13" i="3"/>
  <c r="N12" i="3"/>
  <c r="N11" i="3"/>
  <c r="N10" i="3"/>
  <c r="N9" i="3"/>
  <c r="N8" i="3"/>
  <c r="Q12" i="1" l="1"/>
  <c r="B20" i="1" l="1"/>
  <c r="O20" i="1"/>
  <c r="U20" i="1"/>
  <c r="T20" i="1" l="1"/>
  <c r="O23" i="1"/>
  <c r="O22" i="1"/>
  <c r="O21" i="1"/>
  <c r="O19" i="1"/>
  <c r="O18" i="1"/>
  <c r="O17" i="1"/>
  <c r="O16" i="1"/>
  <c r="O15" i="1"/>
  <c r="O14" i="1"/>
  <c r="O57" i="1"/>
  <c r="G80" i="1" s="1"/>
  <c r="O58" i="1"/>
  <c r="H78" i="1" s="1"/>
  <c r="O59" i="1"/>
  <c r="I71" i="1" s="1"/>
  <c r="O60" i="1"/>
  <c r="J77" i="1" s="1"/>
  <c r="O61" i="1"/>
  <c r="K80" i="1" s="1"/>
  <c r="O62" i="1"/>
  <c r="L78" i="1" s="1"/>
  <c r="O63" i="1"/>
  <c r="M78" i="1" s="1"/>
  <c r="O64" i="1"/>
  <c r="N76" i="1" s="1"/>
  <c r="O56" i="1"/>
  <c r="F79" i="1" s="1"/>
  <c r="S27" i="1"/>
  <c r="J25" i="1"/>
  <c r="K25" i="1"/>
  <c r="T7" i="1"/>
  <c r="B14" i="1"/>
  <c r="T14" i="1" s="1"/>
  <c r="U14" i="1"/>
  <c r="B15" i="1"/>
  <c r="T15" i="1" s="1"/>
  <c r="U15" i="1"/>
  <c r="B16" i="1"/>
  <c r="T16" i="1" s="1"/>
  <c r="U16" i="1"/>
  <c r="B17" i="1"/>
  <c r="U17" i="1"/>
  <c r="B18" i="1"/>
  <c r="T18" i="1" s="1"/>
  <c r="U18" i="1"/>
  <c r="B19" i="1"/>
  <c r="T19" i="1" s="1"/>
  <c r="U19" i="1"/>
  <c r="B21" i="1"/>
  <c r="U21" i="1"/>
  <c r="B22" i="1"/>
  <c r="U22" i="1"/>
  <c r="B23" i="1"/>
  <c r="T23" i="1" s="1"/>
  <c r="U23" i="1"/>
  <c r="E25" i="1"/>
  <c r="F25" i="1"/>
  <c r="G25" i="1"/>
  <c r="H25" i="1"/>
  <c r="I25" i="1"/>
  <c r="L25" i="1"/>
  <c r="M25" i="1"/>
  <c r="N25" i="1"/>
  <c r="C71" i="1"/>
  <c r="C72" i="1"/>
  <c r="C73" i="1"/>
  <c r="C74" i="1"/>
  <c r="C75" i="1"/>
  <c r="C76" i="1"/>
  <c r="C77" i="1"/>
  <c r="C78" i="1"/>
  <c r="C79" i="1"/>
  <c r="C80" i="1"/>
  <c r="M77" i="1" l="1"/>
  <c r="K76" i="1"/>
  <c r="I78" i="1"/>
  <c r="M73" i="1"/>
  <c r="M79" i="1"/>
  <c r="K72" i="1"/>
  <c r="J73" i="1"/>
  <c r="G72" i="1"/>
  <c r="G73" i="1"/>
  <c r="G74" i="1"/>
  <c r="G77" i="1"/>
  <c r="K79" i="1"/>
  <c r="L71" i="1"/>
  <c r="K73" i="1"/>
  <c r="K74" i="1"/>
  <c r="G78" i="1"/>
  <c r="J79" i="1"/>
  <c r="L80" i="1"/>
  <c r="K71" i="1"/>
  <c r="H76" i="1"/>
  <c r="I72" i="1"/>
  <c r="F75" i="1"/>
  <c r="K77" i="1"/>
  <c r="N80" i="1"/>
  <c r="H80" i="1"/>
  <c r="L75" i="1"/>
  <c r="J78" i="1"/>
  <c r="G79" i="1"/>
  <c r="G71" i="1"/>
  <c r="F73" i="1"/>
  <c r="K75" i="1"/>
  <c r="I76" i="1"/>
  <c r="F77" i="1"/>
  <c r="N79" i="1"/>
  <c r="J80" i="1"/>
  <c r="F71" i="1"/>
  <c r="F72" i="1"/>
  <c r="I74" i="1"/>
  <c r="I75" i="1"/>
  <c r="M76" i="1"/>
  <c r="I77" i="1"/>
  <c r="M71" i="1"/>
  <c r="H71" i="1"/>
  <c r="H72" i="1"/>
  <c r="N73" i="1"/>
  <c r="I73" i="1"/>
  <c r="F74" i="1"/>
  <c r="M75" i="1"/>
  <c r="G75" i="1"/>
  <c r="G76" i="1"/>
  <c r="N77" i="1"/>
  <c r="H77" i="1"/>
  <c r="F78" i="1"/>
  <c r="K78" i="1"/>
  <c r="I79" i="1"/>
  <c r="F80" i="1"/>
  <c r="M80" i="1"/>
  <c r="I80" i="1"/>
  <c r="M72" i="1"/>
  <c r="M74" i="1"/>
  <c r="F76" i="1"/>
  <c r="T22" i="1"/>
  <c r="T21" i="1"/>
  <c r="N71" i="1"/>
  <c r="J71" i="1"/>
  <c r="N74" i="1"/>
  <c r="N78" i="1"/>
  <c r="L72" i="1"/>
  <c r="J74" i="1"/>
  <c r="J75" i="1"/>
  <c r="L76" i="1"/>
  <c r="J72" i="1"/>
  <c r="N72" i="1"/>
  <c r="L73" i="1"/>
  <c r="L74" i="1"/>
  <c r="N75" i="1"/>
  <c r="L79" i="1"/>
  <c r="H79" i="1"/>
  <c r="T17" i="1"/>
  <c r="H73" i="1"/>
  <c r="H74" i="1"/>
  <c r="H75" i="1"/>
  <c r="J76" i="1"/>
  <c r="L77" i="1"/>
  <c r="O25" i="1"/>
  <c r="O73" i="1" l="1"/>
  <c r="P16" i="1" s="1"/>
  <c r="Q16" i="1" s="1"/>
  <c r="R16" i="1" s="1"/>
  <c r="O78" i="1"/>
  <c r="P21" i="1" s="1"/>
  <c r="Q21" i="1" s="1"/>
  <c r="R21" i="1" s="1"/>
  <c r="O77" i="1"/>
  <c r="P20" i="1" s="1"/>
  <c r="O79" i="1"/>
  <c r="P22" i="1" s="1"/>
  <c r="Q22" i="1" s="1"/>
  <c r="O76" i="1"/>
  <c r="P19" i="1" s="1"/>
  <c r="Q19" i="1" s="1"/>
  <c r="R19" i="1" s="1"/>
  <c r="O80" i="1"/>
  <c r="P23" i="1" s="1"/>
  <c r="Q23" i="1" s="1"/>
  <c r="R23" i="1" s="1"/>
  <c r="O71" i="1"/>
  <c r="P14" i="1" s="1"/>
  <c r="Q14" i="1" s="1"/>
  <c r="R14" i="1" s="1"/>
  <c r="O75" i="1"/>
  <c r="P18" i="1" s="1"/>
  <c r="Q18" i="1" s="1"/>
  <c r="R18" i="1" s="1"/>
  <c r="O72" i="1"/>
  <c r="P15" i="1" s="1"/>
  <c r="Q15" i="1" s="1"/>
  <c r="R15" i="1" s="1"/>
  <c r="O74" i="1"/>
  <c r="P17" i="1" s="1"/>
  <c r="Q17" i="1" s="1"/>
  <c r="R17" i="1" s="1"/>
  <c r="R22" i="1" l="1"/>
  <c r="Q20" i="1"/>
  <c r="Q25" i="1" s="1"/>
  <c r="P25" i="1"/>
  <c r="R20" i="1" l="1"/>
  <c r="R25" i="1" s="1"/>
  <c r="S9" i="1" s="1"/>
  <c r="S36" i="1" s="1"/>
</calcChain>
</file>

<file path=xl/sharedStrings.xml><?xml version="1.0" encoding="utf-8"?>
<sst xmlns="http://schemas.openxmlformats.org/spreadsheetml/2006/main" count="139" uniqueCount="77">
  <si>
    <t>Travel</t>
  </si>
  <si>
    <t>Consultant(s)</t>
  </si>
  <si>
    <t>Exhibit 2</t>
  </si>
  <si>
    <t>Exhibit 1</t>
  </si>
  <si>
    <t>ESTIMATED COST</t>
  </si>
  <si>
    <t>ESTIMATED SCHEDULE</t>
  </si>
  <si>
    <t>Maroon Line Extension Ridership Forecasts</t>
  </si>
  <si>
    <t xml:space="preserve"> Direct Salary and Overhead</t>
  </si>
  <si>
    <t>Person-Weeks</t>
  </si>
  <si>
    <t xml:space="preserve">Direct </t>
  </si>
  <si>
    <t xml:space="preserve">Overhead </t>
  </si>
  <si>
    <t xml:space="preserve">Total </t>
  </si>
  <si>
    <t>Task</t>
  </si>
  <si>
    <t>M-1</t>
  </si>
  <si>
    <t>P-5</t>
  </si>
  <si>
    <t>P-4</t>
  </si>
  <si>
    <t>P-3</t>
  </si>
  <si>
    <t>P-2</t>
  </si>
  <si>
    <t>Temp</t>
  </si>
  <si>
    <t xml:space="preserve">Salary </t>
  </si>
  <si>
    <t xml:space="preserve">Cost </t>
  </si>
  <si>
    <t>Develop Model</t>
  </si>
  <si>
    <t>A</t>
  </si>
  <si>
    <t>Task Name</t>
  </si>
  <si>
    <t>B</t>
  </si>
  <si>
    <t>C</t>
  </si>
  <si>
    <t>Total</t>
  </si>
  <si>
    <t>Products/Milestones</t>
  </si>
  <si>
    <t xml:space="preserve"> Other Direct Costs</t>
  </si>
  <si>
    <t>Other (NOTE TO WRITER: SPECIFY IN PARENTHESES WHAT'S INCLUDED; SEE INSTRUCTIONS)</t>
  </si>
  <si>
    <t xml:space="preserve"> TOTAL COST</t>
  </si>
  <si>
    <t xml:space="preserve">THE TABLE ENDS WITH THE FUNDING INFORMATION ABOVE. </t>
  </si>
  <si>
    <t>CONCERNING THE MATERIALS BELOW:</t>
  </si>
  <si>
    <t xml:space="preserve">Don't alter them unless you "know what you're doing" (the spreadsheet program uses some of them). </t>
  </si>
  <si>
    <t>You don't need to do anything with them or even look at them. Some of the information may be useful</t>
  </si>
  <si>
    <t>or interesting, however.</t>
  </si>
  <si>
    <t>Overhead Percentage</t>
  </si>
  <si>
    <t>The Spreadsheet Program's Working Table for Salary Costs</t>
  </si>
  <si>
    <t>Develop Alt's</t>
  </si>
  <si>
    <t>Analyze Alt's</t>
  </si>
  <si>
    <t xml:space="preserve"> </t>
  </si>
  <si>
    <t>General office equipment</t>
  </si>
  <si>
    <t>Data processing equipment</t>
  </si>
  <si>
    <t>SP-3</t>
  </si>
  <si>
    <t>SP-1</t>
  </si>
  <si>
    <t>P-1</t>
  </si>
  <si>
    <t>Mileage Reimbursement Rates</t>
  </si>
  <si>
    <t>For the rate(s) to use for your project, consult the Deputy Director for Administration.</t>
  </si>
  <si>
    <t xml:space="preserve">MPO Planning Contract #XXXXX </t>
  </si>
  <si>
    <t>Funding [WRITER: REPEAT INFO FROM PAGE 1 OF MEMO, IN LIST FORM, AS IN EXAMPLE BELOW]</t>
  </si>
  <si>
    <t>MPO §5303 Planning Contract #XXXXX</t>
  </si>
  <si>
    <t>DO NOT DELETE OR CHANGE THIS LINE</t>
  </si>
  <si>
    <t>DO NOTE DELETE OR CHANGE THIS LINE</t>
  </si>
  <si>
    <t>Do first thing</t>
  </si>
  <si>
    <t>Do third thing</t>
  </si>
  <si>
    <t>Do fourth thing</t>
  </si>
  <si>
    <t>Do fifth thing</t>
  </si>
  <si>
    <t>Do sixth thing</t>
  </si>
  <si>
    <t>Do seventh thing</t>
  </si>
  <si>
    <t>Do eighth thing</t>
  </si>
  <si>
    <t>Do ninth thing</t>
  </si>
  <si>
    <t>Do tenth thing</t>
  </si>
  <si>
    <t>Do second thing</t>
  </si>
  <si>
    <t>A:</t>
  </si>
  <si>
    <t>B:</t>
  </si>
  <si>
    <t>C:</t>
  </si>
  <si>
    <t>Technical memorandum no. 3</t>
  </si>
  <si>
    <t>Technical memorandum no. 1</t>
  </si>
  <si>
    <t>Technical memorandum no. 2</t>
  </si>
  <si>
    <t>Quarter</t>
  </si>
  <si>
    <t>Month</t>
  </si>
  <si>
    <t>Week</t>
  </si>
  <si>
    <t>Change the Period of the Estimated Schedule</t>
  </si>
  <si>
    <t>Salaries for FY 2019</t>
  </si>
  <si>
    <t>Printing (NOTE TO WRITER: CONSULT A DIRECTOR BEFORE INCLUDING PRINTING COSTS)</t>
  </si>
  <si>
    <t>Salaries for FY 2020</t>
  </si>
  <si>
    <t>This is the audited overhead rate to be used for 3C and SPR projects. Other agency projects may use the projected overhead rate of 104.89. Check with Administration and Finance and update this cell accordingly.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</si>
</sst>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quot;$&quot;#,##0_);\(&quot;$&quot;#,##0\)"/>
    <numFmt numFmtId="165" formatCode="_(&quot;$&quot;* #,##0_);_(&quot;$&quot;* \(#,##0\);_(&quot;$&quot;* &quot;-&quot;_);_(@_)"/>
    <numFmt numFmtId="166" formatCode="0.0"/>
    <numFmt numFmtId="167" formatCode="&quot;$&quot;#,##0"/>
    <numFmt numFmtId="168" formatCode="0.0\ "/>
    <numFmt numFmtId="169" formatCode="&quot;$&quot;#,##0\ "/>
  </numFmts>
  <fonts count="14" x14ac:knownFonts="1">
    <font>
      <sz val="11"/>
      <name val="Arial Narrow"/>
    </font>
    <font>
      <b/>
      <sz val="10"/>
      <name val="Arial"/>
      <family val="2"/>
    </font>
    <font>
      <sz val="10"/>
      <name val="Arial Narrow"/>
      <family val="2"/>
    </font>
    <font>
      <sz val="10"/>
      <name val="Arial"/>
      <family val="2"/>
    </font>
    <font>
      <b/>
      <sz val="10"/>
      <name val="Arial Narrow"/>
      <family val="2"/>
    </font>
    <font>
      <b/>
      <i/>
      <sz val="10"/>
      <name val="Arial Narrow"/>
      <family val="2"/>
    </font>
    <font>
      <i/>
      <sz val="10"/>
      <name val="Arial Narrow"/>
      <family val="2"/>
    </font>
    <font>
      <i/>
      <sz val="10"/>
      <name val="Arial Narrow"/>
      <family val="2"/>
    </font>
    <font>
      <b/>
      <sz val="10"/>
      <name val="Arial Narrow"/>
      <family val="2"/>
    </font>
    <font>
      <sz val="10"/>
      <color theme="1"/>
      <name val="Arial"/>
      <family val="2"/>
    </font>
    <font>
      <sz val="10"/>
      <color theme="1"/>
      <name val="Arial Narrow"/>
      <family val="2"/>
    </font>
    <font>
      <b/>
      <sz val="10"/>
      <color theme="1"/>
      <name val="Arial Narrow"/>
      <family val="2"/>
    </font>
    <font>
      <sz val="11"/>
      <name val="Arial Narrow"/>
      <family val="2"/>
    </font>
    <font>
      <b/>
      <sz val="18"/>
      <name val="Arial Narrow"/>
      <family val="2"/>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13"/>
        <bgColor indexed="64"/>
      </patternFill>
    </fill>
  </fills>
  <borders count="22">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diagonal/>
    </border>
    <border>
      <left style="thin">
        <color auto="1"/>
      </left>
      <right style="thin">
        <color indexed="64"/>
      </right>
      <top style="thin">
        <color indexed="64"/>
      </top>
      <bottom style="thin">
        <color indexed="64"/>
      </bottom>
      <diagonal/>
    </border>
    <border>
      <left/>
      <right/>
      <top/>
      <bottom style="thin">
        <color auto="1"/>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indexed="64"/>
      </right>
      <top style="thin">
        <color indexed="64"/>
      </top>
      <bottom style="thin">
        <color indexed="64"/>
      </bottom>
      <diagonal/>
    </border>
  </borders>
  <cellStyleXfs count="1">
    <xf numFmtId="0" fontId="0" fillId="0" borderId="0"/>
  </cellStyleXfs>
  <cellXfs count="148">
    <xf numFmtId="0" fontId="0" fillId="0" borderId="0" xfId="0"/>
    <xf numFmtId="0" fontId="2" fillId="0" borderId="0" xfId="0" applyFont="1"/>
    <xf numFmtId="0" fontId="1" fillId="0" borderId="0" xfId="0" applyFont="1"/>
    <xf numFmtId="0" fontId="1" fillId="0" borderId="0" xfId="0" applyFont="1" applyAlignment="1"/>
    <xf numFmtId="0" fontId="1" fillId="0" borderId="0" xfId="0" applyFont="1" applyProtection="1">
      <protection locked="0"/>
    </xf>
    <xf numFmtId="0" fontId="3" fillId="0" borderId="0" xfId="0" applyFont="1" applyAlignment="1"/>
    <xf numFmtId="0" fontId="3" fillId="0" borderId="0" xfId="0" applyFont="1" applyAlignment="1">
      <alignment horizontal="left" vertical="top" wrapText="1"/>
    </xf>
    <xf numFmtId="0" fontId="3" fillId="0" borderId="0" xfId="0" applyFont="1"/>
    <xf numFmtId="0" fontId="3" fillId="0" borderId="0" xfId="0" applyFont="1" applyProtection="1">
      <protection locked="0"/>
    </xf>
    <xf numFmtId="0" fontId="1" fillId="0" borderId="0" xfId="0" applyFont="1" applyAlignment="1">
      <alignment horizontal="left" vertical="top" wrapText="1"/>
    </xf>
    <xf numFmtId="0" fontId="2" fillId="0" borderId="0" xfId="0" applyFont="1" applyAlignment="1"/>
    <xf numFmtId="0" fontId="2" fillId="0" borderId="0" xfId="0" applyFont="1" applyAlignment="1">
      <alignment horizontal="left" vertical="top" wrapText="1"/>
    </xf>
    <xf numFmtId="0" fontId="2" fillId="0" borderId="0" xfId="0" applyFont="1" applyProtection="1">
      <protection locked="0"/>
    </xf>
    <xf numFmtId="0" fontId="4" fillId="0" borderId="0" xfId="0" applyFont="1"/>
    <xf numFmtId="0" fontId="2" fillId="0" borderId="0" xfId="0" applyFont="1" applyBorder="1" applyAlignment="1"/>
    <xf numFmtId="0" fontId="2" fillId="0" borderId="0" xfId="0" applyFont="1" applyBorder="1" applyAlignment="1">
      <alignment horizontal="left" vertical="top" wrapText="1"/>
    </xf>
    <xf numFmtId="0" fontId="2" fillId="0" borderId="0" xfId="0" applyFont="1" applyBorder="1"/>
    <xf numFmtId="0" fontId="2" fillId="0" borderId="0" xfId="0" applyFont="1" applyBorder="1" applyProtection="1">
      <protection locked="0"/>
    </xf>
    <xf numFmtId="0" fontId="4" fillId="0" borderId="0" xfId="0" applyFont="1" applyAlignment="1"/>
    <xf numFmtId="0" fontId="4" fillId="0" borderId="0" xfId="0" applyFont="1" applyAlignment="1">
      <alignment horizontal="left" vertical="top" wrapText="1"/>
    </xf>
    <xf numFmtId="0" fontId="4" fillId="1" borderId="1" xfId="0" applyFont="1" applyFill="1" applyBorder="1"/>
    <xf numFmtId="0" fontId="2" fillId="1" borderId="2" xfId="0" applyFont="1" applyFill="1" applyBorder="1" applyAlignment="1"/>
    <xf numFmtId="0" fontId="2" fillId="1" borderId="2" xfId="0" applyFont="1" applyFill="1" applyBorder="1"/>
    <xf numFmtId="0" fontId="2" fillId="1" borderId="2" xfId="0" applyFont="1" applyFill="1" applyBorder="1" applyProtection="1">
      <protection locked="0"/>
    </xf>
    <xf numFmtId="169" fontId="4" fillId="1" borderId="3" xfId="0" applyNumberFormat="1" applyFont="1" applyFill="1" applyBorder="1" applyAlignment="1"/>
    <xf numFmtId="169" fontId="4" fillId="0" borderId="0" xfId="0" applyNumberFormat="1" applyFont="1" applyAlignment="1"/>
    <xf numFmtId="0" fontId="2" fillId="0" borderId="4" xfId="0" applyFont="1" applyBorder="1" applyAlignment="1" applyProtection="1">
      <alignment horizontal="centerContinuous"/>
      <protection locked="0"/>
    </xf>
    <xf numFmtId="0" fontId="2" fillId="0" borderId="5" xfId="0" applyFont="1" applyBorder="1" applyAlignment="1" applyProtection="1">
      <alignment horizontal="centerContinuous"/>
      <protection locked="0"/>
    </xf>
    <xf numFmtId="0" fontId="2" fillId="0" borderId="6" xfId="0" applyFont="1" applyBorder="1" applyAlignment="1" applyProtection="1">
      <alignment horizontal="centerContinuous"/>
      <protection locked="0"/>
    </xf>
    <xf numFmtId="0" fontId="2" fillId="0" borderId="7" xfId="0" applyFont="1" applyBorder="1" applyAlignment="1">
      <alignment horizontal="right"/>
    </xf>
    <xf numFmtId="0" fontId="2" fillId="0" borderId="6" xfId="0" applyFont="1" applyBorder="1" applyAlignment="1">
      <alignment horizontal="right"/>
    </xf>
    <xf numFmtId="169" fontId="2" fillId="0" borderId="0" xfId="0" applyNumberFormat="1" applyFont="1" applyAlignment="1">
      <alignment horizontal="right"/>
    </xf>
    <xf numFmtId="0" fontId="2" fillId="0" borderId="4" xfId="0" applyFont="1" applyBorder="1"/>
    <xf numFmtId="0" fontId="2" fillId="0" borderId="2" xfId="0" applyFont="1" applyBorder="1" applyAlignment="1" applyProtection="1">
      <alignment horizontal="right"/>
      <protection locked="0"/>
    </xf>
    <xf numFmtId="0" fontId="2" fillId="0" borderId="3" xfId="0" applyFont="1" applyBorder="1" applyAlignment="1" applyProtection="1">
      <alignment horizontal="right"/>
      <protection locked="0"/>
    </xf>
    <xf numFmtId="0" fontId="2" fillId="0" borderId="10" xfId="0" applyFont="1" applyBorder="1" applyAlignment="1">
      <alignment horizontal="right"/>
    </xf>
    <xf numFmtId="1" fontId="2" fillId="0" borderId="11" xfId="0" applyNumberFormat="1" applyFont="1" applyBorder="1" applyAlignment="1">
      <alignment horizontal="right"/>
    </xf>
    <xf numFmtId="9" fontId="2" fillId="0" borderId="12" xfId="0" applyNumberFormat="1" applyFont="1" applyBorder="1" applyAlignment="1">
      <alignment horizontal="right"/>
    </xf>
    <xf numFmtId="169" fontId="2" fillId="0" borderId="0" xfId="0" applyNumberFormat="1" applyFont="1" applyAlignment="1"/>
    <xf numFmtId="166" fontId="2" fillId="0" borderId="0" xfId="0" applyNumberFormat="1" applyFont="1" applyProtection="1">
      <protection locked="0"/>
    </xf>
    <xf numFmtId="169" fontId="2" fillId="0" borderId="0" xfId="0" applyNumberFormat="1" applyFont="1"/>
    <xf numFmtId="0" fontId="2" fillId="1" borderId="13" xfId="0" applyFont="1" applyFill="1" applyBorder="1"/>
    <xf numFmtId="0" fontId="2" fillId="1" borderId="14" xfId="0" applyFont="1" applyFill="1" applyBorder="1"/>
    <xf numFmtId="0" fontId="2" fillId="1" borderId="15" xfId="0" applyFont="1" applyFill="1" applyBorder="1"/>
    <xf numFmtId="166" fontId="2" fillId="0" borderId="0" xfId="0" applyNumberFormat="1" applyFont="1" applyBorder="1" applyProtection="1">
      <protection locked="0"/>
    </xf>
    <xf numFmtId="168" fontId="2" fillId="0" borderId="0" xfId="0" applyNumberFormat="1" applyFont="1" applyBorder="1" applyProtection="1">
      <protection locked="0"/>
    </xf>
    <xf numFmtId="169" fontId="2" fillId="0" borderId="0" xfId="0" applyNumberFormat="1" applyFont="1" applyBorder="1"/>
    <xf numFmtId="169" fontId="2" fillId="0" borderId="0" xfId="0" applyNumberFormat="1" applyFont="1" applyBorder="1" applyAlignment="1"/>
    <xf numFmtId="167" fontId="2" fillId="0" borderId="0" xfId="0" applyNumberFormat="1" applyFont="1" applyBorder="1"/>
    <xf numFmtId="167" fontId="2" fillId="1" borderId="2" xfId="0" applyNumberFormat="1" applyFont="1" applyFill="1" applyBorder="1"/>
    <xf numFmtId="169" fontId="2" fillId="1" borderId="2" xfId="0" applyNumberFormat="1" applyFont="1" applyFill="1" applyBorder="1" applyAlignment="1"/>
    <xf numFmtId="167" fontId="2" fillId="0" borderId="0" xfId="0" applyNumberFormat="1" applyFont="1"/>
    <xf numFmtId="167" fontId="2" fillId="0" borderId="0" xfId="0" applyNumberFormat="1" applyFont="1" applyAlignment="1"/>
    <xf numFmtId="0" fontId="4" fillId="1" borderId="2" xfId="0" applyFont="1" applyFill="1" applyBorder="1" applyAlignment="1"/>
    <xf numFmtId="167" fontId="2" fillId="1" borderId="2" xfId="0" applyNumberFormat="1" applyFont="1" applyFill="1" applyBorder="1" applyAlignment="1"/>
    <xf numFmtId="0" fontId="4" fillId="0" borderId="0" xfId="0" applyFont="1" applyBorder="1"/>
    <xf numFmtId="0" fontId="4" fillId="0" borderId="0" xfId="0" applyFont="1" applyBorder="1" applyAlignment="1"/>
    <xf numFmtId="167" fontId="2" fillId="0" borderId="0" xfId="0" applyNumberFormat="1" applyFont="1" applyBorder="1" applyAlignment="1"/>
    <xf numFmtId="169" fontId="4" fillId="0" borderId="0" xfId="0" applyNumberFormat="1" applyFont="1" applyBorder="1" applyAlignment="1"/>
    <xf numFmtId="0" fontId="5" fillId="0" borderId="0" xfId="0" applyFont="1" applyBorder="1"/>
    <xf numFmtId="0" fontId="6" fillId="0" borderId="0" xfId="0" applyFont="1" applyBorder="1" applyAlignment="1"/>
    <xf numFmtId="164" fontId="2" fillId="0" borderId="0" xfId="0" applyNumberFormat="1" applyFont="1" applyBorder="1"/>
    <xf numFmtId="164" fontId="2" fillId="0" borderId="0" xfId="0" applyNumberFormat="1" applyFont="1" applyBorder="1" applyAlignment="1"/>
    <xf numFmtId="2" fontId="2" fillId="0" borderId="0" xfId="0" applyNumberFormat="1" applyFont="1" applyBorder="1" applyAlignment="1">
      <alignment horizontal="left"/>
    </xf>
    <xf numFmtId="0" fontId="4" fillId="0" borderId="0" xfId="0" applyFont="1" applyBorder="1" applyProtection="1">
      <protection locked="0"/>
    </xf>
    <xf numFmtId="164" fontId="4" fillId="0" borderId="0" xfId="0" applyNumberFormat="1" applyFont="1" applyBorder="1"/>
    <xf numFmtId="164" fontId="4" fillId="0" borderId="0" xfId="0" applyNumberFormat="1" applyFont="1" applyBorder="1" applyAlignment="1"/>
    <xf numFmtId="0" fontId="2" fillId="0" borderId="0" xfId="0" applyFont="1" applyProtection="1">
      <protection hidden="1"/>
    </xf>
    <xf numFmtId="0" fontId="2" fillId="0" borderId="0" xfId="0" applyFont="1" applyAlignment="1" applyProtection="1">
      <protection hidden="1"/>
    </xf>
    <xf numFmtId="0" fontId="2" fillId="0" borderId="0" xfId="0" applyFont="1" applyAlignment="1" applyProtection="1">
      <alignment horizontal="left" vertical="top" wrapText="1"/>
      <protection hidden="1"/>
    </xf>
    <xf numFmtId="0" fontId="2" fillId="0" borderId="0" xfId="0" applyFont="1" applyBorder="1" applyProtection="1">
      <protection locked="0" hidden="1"/>
    </xf>
    <xf numFmtId="0" fontId="2" fillId="0" borderId="0" xfId="0" applyFont="1" applyBorder="1" applyProtection="1">
      <protection hidden="1"/>
    </xf>
    <xf numFmtId="164" fontId="2" fillId="0" borderId="0" xfId="0" applyNumberFormat="1" applyFont="1" applyBorder="1" applyProtection="1">
      <protection hidden="1"/>
    </xf>
    <xf numFmtId="164" fontId="2" fillId="0" borderId="0" xfId="0" applyNumberFormat="1" applyFont="1" applyBorder="1" applyAlignment="1" applyProtection="1">
      <protection hidden="1"/>
    </xf>
    <xf numFmtId="0" fontId="4" fillId="0" borderId="0" xfId="0" applyFont="1" applyProtection="1">
      <protection hidden="1"/>
    </xf>
    <xf numFmtId="0" fontId="2" fillId="0" borderId="0" xfId="0" applyFont="1" applyAlignment="1" applyProtection="1">
      <alignment horizontal="right"/>
      <protection hidden="1"/>
    </xf>
    <xf numFmtId="0" fontId="2" fillId="0" borderId="0" xfId="0" applyFont="1" applyBorder="1" applyAlignment="1" applyProtection="1">
      <alignment horizontal="right"/>
      <protection locked="0" hidden="1"/>
    </xf>
    <xf numFmtId="0" fontId="2" fillId="0" borderId="0" xfId="0" applyNumberFormat="1" applyFont="1" applyAlignment="1" applyProtection="1">
      <alignment horizontal="center"/>
      <protection hidden="1"/>
    </xf>
    <xf numFmtId="0" fontId="2" fillId="0" borderId="0" xfId="0" applyFont="1" applyAlignment="1" applyProtection="1">
      <alignment horizontal="center"/>
      <protection hidden="1"/>
    </xf>
    <xf numFmtId="0" fontId="2" fillId="0" borderId="0" xfId="0" applyFont="1" applyProtection="1">
      <protection locked="0" hidden="1"/>
    </xf>
    <xf numFmtId="0" fontId="2" fillId="0" borderId="0" xfId="0" applyFont="1" applyAlignment="1" applyProtection="1">
      <protection locked="0" hidden="1"/>
    </xf>
    <xf numFmtId="1" fontId="2" fillId="0" borderId="0" xfId="0" applyNumberFormat="1" applyFont="1" applyAlignment="1" applyProtection="1">
      <alignment horizontal="center"/>
      <protection hidden="1"/>
    </xf>
    <xf numFmtId="0" fontId="4" fillId="0" borderId="0" xfId="0" applyFont="1" applyProtection="1">
      <protection locked="0"/>
    </xf>
    <xf numFmtId="0" fontId="2" fillId="0" borderId="0" xfId="0" applyFont="1" applyBorder="1" applyAlignment="1" applyProtection="1">
      <alignment horizontal="centerContinuous"/>
      <protection locked="0"/>
    </xf>
    <xf numFmtId="0" fontId="2" fillId="0" borderId="0" xfId="0" applyFont="1" applyAlignment="1">
      <alignment horizontal="right"/>
    </xf>
    <xf numFmtId="166" fontId="2" fillId="0" borderId="0" xfId="0" applyNumberFormat="1" applyFont="1"/>
    <xf numFmtId="166" fontId="2" fillId="0" borderId="0" xfId="0" applyNumberFormat="1" applyFont="1" applyBorder="1"/>
    <xf numFmtId="169" fontId="4" fillId="1" borderId="2" xfId="0" applyNumberFormat="1" applyFont="1" applyFill="1" applyBorder="1" applyAlignment="1"/>
    <xf numFmtId="3" fontId="2" fillId="0" borderId="0" xfId="0" applyNumberFormat="1" applyFont="1"/>
    <xf numFmtId="165" fontId="2" fillId="0" borderId="0" xfId="0" applyNumberFormat="1" applyFont="1" applyProtection="1">
      <protection locked="0"/>
    </xf>
    <xf numFmtId="0" fontId="7" fillId="0" borderId="0" xfId="0" applyFont="1" applyBorder="1" applyAlignment="1"/>
    <xf numFmtId="0" fontId="8" fillId="2" borderId="0" xfId="0" applyFont="1" applyFill="1" applyAlignment="1"/>
    <xf numFmtId="0" fontId="2" fillId="2" borderId="0" xfId="0" applyFont="1" applyFill="1"/>
    <xf numFmtId="0" fontId="2" fillId="2" borderId="0" xfId="0" applyFont="1" applyFill="1" applyProtection="1">
      <protection locked="0"/>
    </xf>
    <xf numFmtId="0" fontId="2" fillId="2" borderId="0" xfId="0" applyFont="1" applyFill="1" applyAlignment="1"/>
    <xf numFmtId="169" fontId="2" fillId="2" borderId="0" xfId="0" applyNumberFormat="1" applyFont="1" applyFill="1" applyAlignment="1"/>
    <xf numFmtId="0" fontId="2" fillId="2" borderId="0" xfId="0" applyFont="1" applyFill="1" applyBorder="1"/>
    <xf numFmtId="0" fontId="8" fillId="2" borderId="0" xfId="0" applyFont="1" applyFill="1"/>
    <xf numFmtId="166" fontId="8" fillId="2" borderId="0" xfId="0" applyNumberFormat="1" applyFont="1" applyFill="1" applyProtection="1">
      <protection locked="0"/>
    </xf>
    <xf numFmtId="168" fontId="8" fillId="2" borderId="0" xfId="0" applyNumberFormat="1" applyFont="1" applyFill="1" applyProtection="1">
      <protection locked="0"/>
    </xf>
    <xf numFmtId="166" fontId="8" fillId="2" borderId="0" xfId="0" applyNumberFormat="1" applyFont="1" applyFill="1"/>
    <xf numFmtId="169" fontId="8" fillId="2" borderId="0" xfId="0" applyNumberFormat="1" applyFont="1" applyFill="1"/>
    <xf numFmtId="169" fontId="8" fillId="2" borderId="0" xfId="0" applyNumberFormat="1" applyFont="1" applyFill="1" applyAlignment="1"/>
    <xf numFmtId="0" fontId="8" fillId="2" borderId="0" xfId="0" applyFont="1" applyFill="1" applyBorder="1"/>
    <xf numFmtId="0" fontId="4" fillId="2" borderId="0" xfId="0" applyFont="1" applyFill="1" applyBorder="1" applyAlignment="1"/>
    <xf numFmtId="0" fontId="2" fillId="2" borderId="0" xfId="0" applyFont="1" applyFill="1" applyBorder="1" applyProtection="1">
      <protection locked="0"/>
    </xf>
    <xf numFmtId="167" fontId="2" fillId="2" borderId="0" xfId="0" applyNumberFormat="1" applyFont="1" applyFill="1" applyBorder="1"/>
    <xf numFmtId="167" fontId="2" fillId="2" borderId="0" xfId="0" applyNumberFormat="1" applyFont="1" applyFill="1" applyBorder="1" applyAlignment="1"/>
    <xf numFmtId="169" fontId="4" fillId="2" borderId="0" xfId="0" applyNumberFormat="1" applyFont="1" applyFill="1" applyBorder="1" applyAlignment="1"/>
    <xf numFmtId="0" fontId="7" fillId="2" borderId="0" xfId="0" applyFont="1" applyFill="1" applyBorder="1" applyAlignment="1"/>
    <xf numFmtId="164" fontId="2" fillId="2" borderId="0" xfId="0" applyNumberFormat="1" applyFont="1" applyFill="1" applyBorder="1"/>
    <xf numFmtId="164" fontId="2" fillId="2" borderId="0" xfId="0" applyNumberFormat="1" applyFont="1" applyFill="1" applyBorder="1" applyAlignment="1"/>
    <xf numFmtId="0" fontId="9" fillId="3" borderId="0" xfId="0" applyFont="1" applyFill="1"/>
    <xf numFmtId="0" fontId="10" fillId="3" borderId="0" xfId="0" applyFont="1" applyFill="1"/>
    <xf numFmtId="0" fontId="11" fillId="3" borderId="0" xfId="0" applyFont="1" applyFill="1"/>
    <xf numFmtId="0" fontId="10" fillId="3" borderId="0" xfId="0" applyFont="1" applyFill="1" applyBorder="1"/>
    <xf numFmtId="0" fontId="12" fillId="0" borderId="0" xfId="0" applyFont="1"/>
    <xf numFmtId="0" fontId="3" fillId="0" borderId="0" xfId="0" applyFont="1" applyAlignment="1" applyProtection="1">
      <alignment vertical="top"/>
      <protection locked="0"/>
    </xf>
    <xf numFmtId="0" fontId="4" fillId="0" borderId="0" xfId="0" applyFont="1" applyAlignment="1">
      <alignment vertical="top"/>
    </xf>
    <xf numFmtId="0" fontId="2" fillId="0" borderId="0" xfId="0" applyFont="1"/>
    <xf numFmtId="0" fontId="2" fillId="4" borderId="0" xfId="0" applyFont="1" applyFill="1" applyBorder="1"/>
    <xf numFmtId="0" fontId="2" fillId="4" borderId="0" xfId="0" applyFont="1" applyFill="1"/>
    <xf numFmtId="0" fontId="2" fillId="0" borderId="0" xfId="0" applyFont="1" applyFill="1"/>
    <xf numFmtId="0" fontId="2" fillId="0" borderId="0" xfId="0" applyFont="1" applyFill="1" applyBorder="1"/>
    <xf numFmtId="0" fontId="10" fillId="3" borderId="0" xfId="0" applyFont="1" applyFill="1" applyAlignment="1">
      <alignment horizontal="center"/>
    </xf>
    <xf numFmtId="0" fontId="2" fillId="0" borderId="0" xfId="0" applyFont="1" applyFill="1"/>
    <xf numFmtId="0" fontId="4" fillId="0" borderId="0" xfId="0" applyFont="1" applyFill="1" applyBorder="1"/>
    <xf numFmtId="0" fontId="2" fillId="0" borderId="0" xfId="0" applyFont="1" applyFill="1" applyBorder="1" applyAlignment="1">
      <alignment horizontal="centerContinuous"/>
    </xf>
    <xf numFmtId="0" fontId="2" fillId="4" borderId="10" xfId="0" applyFont="1" applyFill="1" applyBorder="1"/>
    <xf numFmtId="0" fontId="2" fillId="0" borderId="0" xfId="0" applyFont="1" applyFill="1"/>
    <xf numFmtId="0" fontId="2" fillId="4" borderId="18" xfId="0" applyFont="1" applyFill="1" applyBorder="1"/>
    <xf numFmtId="0" fontId="13" fillId="0" borderId="0" xfId="0" applyFont="1" applyAlignment="1">
      <alignment horizontal="left"/>
    </xf>
    <xf numFmtId="0" fontId="0" fillId="0" borderId="17" xfId="0" quotePrefix="1" applyBorder="1" applyAlignment="1">
      <alignment horizontal="center"/>
    </xf>
    <xf numFmtId="0" fontId="0" fillId="0" borderId="17" xfId="0" applyBorder="1" applyAlignment="1">
      <alignment horizontal="center"/>
    </xf>
    <xf numFmtId="0" fontId="0" fillId="0" borderId="21"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2" fillId="0" borderId="8" xfId="0" applyFont="1" applyBorder="1" applyAlignment="1">
      <alignment horizontal="center"/>
    </xf>
    <xf numFmtId="0" fontId="0" fillId="0" borderId="5" xfId="0" applyBorder="1" applyAlignment="1"/>
    <xf numFmtId="0" fontId="0" fillId="0" borderId="6" xfId="0" applyBorder="1" applyAlignment="1"/>
    <xf numFmtId="0" fontId="0" fillId="0" borderId="9" xfId="0" applyBorder="1" applyAlignment="1"/>
    <xf numFmtId="0" fontId="0" fillId="0" borderId="10" xfId="0" applyBorder="1" applyAlignment="1"/>
    <xf numFmtId="0" fontId="0" fillId="0" borderId="12" xfId="0" applyBorder="1" applyAlignment="1"/>
    <xf numFmtId="0" fontId="2" fillId="0" borderId="5" xfId="0" applyFont="1" applyBorder="1" applyAlignment="1">
      <alignment horizontal="center"/>
    </xf>
    <xf numFmtId="0" fontId="2" fillId="4" borderId="10" xfId="0" applyFont="1" applyFill="1" applyBorder="1"/>
    <xf numFmtId="0" fontId="2" fillId="4" borderId="5" xfId="0" applyFont="1" applyFill="1" applyBorder="1"/>
    <xf numFmtId="0" fontId="2" fillId="0" borderId="0" xfId="0" applyFont="1" applyFill="1"/>
    <xf numFmtId="0" fontId="2" fillId="0" borderId="16" xfId="0" applyFont="1" applyFill="1" applyBorder="1"/>
  </cellXfs>
  <cellStyles count="1">
    <cellStyle name="Normal"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95250</xdr:colOff>
          <xdr:row>1</xdr:row>
          <xdr:rowOff>0</xdr:rowOff>
        </xdr:from>
        <xdr:to>
          <xdr:col>19</xdr:col>
          <xdr:colOff>257175</xdr:colOff>
          <xdr:row>2</xdr:row>
          <xdr:rowOff>9525</xdr:rowOff>
        </xdr:to>
        <xdr:sp macro="" textlink="">
          <xdr:nvSpPr>
            <xdr:cNvPr id="1027" name="CommandButton1"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19049</xdr:colOff>
      <xdr:row>0</xdr:row>
      <xdr:rowOff>19049</xdr:rowOff>
    </xdr:from>
    <xdr:to>
      <xdr:col>18</xdr:col>
      <xdr:colOff>600075</xdr:colOff>
      <xdr:row>0</xdr:row>
      <xdr:rowOff>3933824</xdr:rowOff>
    </xdr:to>
    <xdr:sp macro="" textlink="">
      <xdr:nvSpPr>
        <xdr:cNvPr id="2" name="TextBox 1"/>
        <xdr:cNvSpPr txBox="1"/>
      </xdr:nvSpPr>
      <xdr:spPr>
        <a:xfrm>
          <a:off x="19049" y="19049"/>
          <a:ext cx="14706601" cy="3914775"/>
        </a:xfrm>
        <a:prstGeom prst="rect">
          <a:avLst/>
        </a:prstGeom>
        <a:solidFill>
          <a:srgbClr val="FFFFCC"/>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dk1"/>
              </a:solidFill>
              <a:effectLst/>
              <a:latin typeface="+mn-lt"/>
              <a:ea typeface="+mn-ea"/>
              <a:cs typeface="+mn-cs"/>
            </a:rPr>
            <a:t>Instructions for Exhibits 1 and 2</a:t>
          </a:r>
          <a:endParaRPr lang="en-GB" sz="1100">
            <a:solidFill>
              <a:schemeClr val="dk1"/>
            </a:solidFill>
            <a:effectLst/>
            <a:latin typeface="+mn-lt"/>
            <a:ea typeface="+mn-ea"/>
            <a:cs typeface="+mn-cs"/>
          </a:endParaRPr>
        </a:p>
        <a:p>
          <a:pPr lvl="1"/>
          <a:r>
            <a:rPr lang="en-GB" sz="1100" b="1">
              <a:solidFill>
                <a:schemeClr val="dk1"/>
              </a:solidFill>
              <a:effectLst/>
              <a:latin typeface="+mn-lt"/>
              <a:ea typeface="+mn-ea"/>
              <a:cs typeface="+mn-cs"/>
            </a:rPr>
            <a:t>Tips and Pointers</a:t>
          </a:r>
          <a:endParaRPr lang="en-GB" sz="1100">
            <a:solidFill>
              <a:schemeClr val="dk1"/>
            </a:solidFill>
            <a:effectLst/>
            <a:latin typeface="+mn-lt"/>
            <a:ea typeface="+mn-ea"/>
            <a:cs typeface="+mn-cs"/>
          </a:endParaRPr>
        </a:p>
        <a:p>
          <a:pPr lvl="2"/>
          <a:r>
            <a:rPr lang="en-GB" sz="1100" b="1">
              <a:solidFill>
                <a:schemeClr val="dk1"/>
              </a:solidFill>
              <a:effectLst/>
              <a:latin typeface="+mn-lt"/>
              <a:ea typeface="+mn-ea"/>
              <a:cs typeface="+mn-cs"/>
            </a:rPr>
            <a:t>Do not change the wording and the format (any aspect of its appearance)</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To maintain consistency within CTPS’s work scopes, do not change the sample table or chart more than necessary to make it work for your project. Please keep the format (all aspects of appearance) and wording as much the same as possible. The font used in the table and chart prototypes is Arial Narrow; do not change it.</a:t>
          </a: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Keep the Exhibits separate from Memo</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Keep the exhibits separate from the memo; do not put them on a page with memo text.</a:t>
          </a:r>
        </a:p>
        <a:p>
          <a:pPr lvl="2"/>
          <a:r>
            <a:rPr lang="en-GB" sz="1100">
              <a:solidFill>
                <a:schemeClr val="dk1"/>
              </a:solidFill>
              <a:effectLst/>
              <a:latin typeface="+mn-lt"/>
              <a:ea typeface="+mn-ea"/>
              <a:cs typeface="+mn-cs"/>
            </a:rPr>
            <a:t>Attach the exhibit pages after the text pages.</a:t>
          </a:r>
        </a:p>
        <a:p>
          <a:pPr lvl="2"/>
          <a:r>
            <a:rPr lang="en-GB" sz="1100">
              <a:solidFill>
                <a:schemeClr val="dk1"/>
              </a:solidFill>
              <a:effectLst/>
              <a:latin typeface="+mn-lt"/>
              <a:ea typeface="+mn-ea"/>
              <a:cs typeface="+mn-cs"/>
            </a:rPr>
            <a:t>Place Exhibit 1 before the Exhibit 2 (even though, in this file, it happens to print after the table).</a:t>
          </a: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Follow CTPS Naming Conventions with Giving File a Name</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When saving and naming the file, follow CTPS standard naming conventions by giving the file a name that corresponds to the document it accompanies. For example, if the document is 2019-05-22 Work Scope SCP DD.doc, give the exhibit file a similar name such as 2019-05-22 Work Scope Exhibits EXH DD.xsl.</a:t>
          </a: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Do Not Use Header and Page Numbers on the Exhibit.</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 </a:t>
          </a:r>
        </a:p>
        <a:p>
          <a:pPr lvl="2"/>
          <a:r>
            <a:rPr lang="en-GB" sz="1100" b="1">
              <a:solidFill>
                <a:schemeClr val="dk1"/>
              </a:solidFill>
              <a:effectLst/>
              <a:latin typeface="+mn-lt"/>
              <a:ea typeface="+mn-ea"/>
              <a:cs typeface="+mn-cs"/>
            </a:rPr>
            <a:t>Use the Same Orientation for both Exhibits </a:t>
          </a:r>
          <a:endParaRPr lang="en-GB" sz="1100">
            <a:solidFill>
              <a:schemeClr val="dk1"/>
            </a:solidFill>
            <a:effectLst/>
            <a:latin typeface="+mn-lt"/>
            <a:ea typeface="+mn-ea"/>
            <a:cs typeface="+mn-cs"/>
          </a:endParaRPr>
        </a:p>
        <a:p>
          <a:pPr lvl="2"/>
          <a:r>
            <a:rPr lang="en-GB" sz="1100">
              <a:solidFill>
                <a:schemeClr val="dk1"/>
              </a:solidFill>
              <a:effectLst/>
              <a:latin typeface="+mn-lt"/>
              <a:ea typeface="+mn-ea"/>
              <a:cs typeface="+mn-cs"/>
            </a:rPr>
            <a:t>The Exhibits should have the same orientation.</a:t>
          </a:r>
        </a:p>
        <a:p>
          <a:pPr lvl="2"/>
          <a:r>
            <a:rPr lang="en-GB" sz="1100">
              <a:solidFill>
                <a:schemeClr val="dk1"/>
              </a:solidFill>
              <a:effectLst/>
              <a:latin typeface="+mn-lt"/>
              <a:ea typeface="+mn-ea"/>
              <a:cs typeface="+mn-cs"/>
            </a:rPr>
            <a:t>Portrait Orientation vs. Landscape Orientation: Portrait is preferable to landscape, if both can be portrait. Do not alter the spacing in the chart (Exhibit 1) or table (Exhibit 2) to change their size or proportions. Simply remove the columns and rows that do not apply to your project; otherwise, leave the format as is.</a:t>
          </a:r>
          <a:endParaRPr lang="en-GB" sz="1100"/>
        </a:p>
      </xdr:txBody>
    </xdr:sp>
    <xdr:clientData fPrintsWithSheet="0"/>
  </xdr:twoCellAnchor>
  <xdr:twoCellAnchor editAs="oneCell">
    <xdr:from>
      <xdr:col>0</xdr:col>
      <xdr:colOff>19050</xdr:colOff>
      <xdr:row>1</xdr:row>
      <xdr:rowOff>19051</xdr:rowOff>
    </xdr:from>
    <xdr:to>
      <xdr:col>0</xdr:col>
      <xdr:colOff>5324475</xdr:colOff>
      <xdr:row>93</xdr:row>
      <xdr:rowOff>1</xdr:rowOff>
    </xdr:to>
    <xdr:sp macro="" textlink="">
      <xdr:nvSpPr>
        <xdr:cNvPr id="3" name="TextBox 2"/>
        <xdr:cNvSpPr txBox="1"/>
      </xdr:nvSpPr>
      <xdr:spPr>
        <a:xfrm>
          <a:off x="19050" y="3971926"/>
          <a:ext cx="5305425" cy="16059150"/>
        </a:xfrm>
        <a:prstGeom prst="rect">
          <a:avLst/>
        </a:prstGeom>
        <a:solidFill>
          <a:srgbClr val="FFFFCC"/>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cap="small">
              <a:solidFill>
                <a:schemeClr val="dk1"/>
              </a:solidFill>
              <a:effectLst/>
              <a:latin typeface="+mn-lt"/>
              <a:ea typeface="+mn-ea"/>
              <a:cs typeface="+mn-cs"/>
            </a:rPr>
            <a:t>Instructions for Cost Table</a:t>
          </a:r>
          <a:r>
            <a:rPr lang="en-GB" sz="1100" cap="small">
              <a:solidFill>
                <a:schemeClr val="dk1"/>
              </a:solidFill>
              <a:effectLst/>
              <a:latin typeface="+mn-lt"/>
              <a:ea typeface="+mn-ea"/>
              <a:cs typeface="+mn-cs"/>
            </a:rPr>
            <a:t> </a:t>
          </a:r>
          <a:r>
            <a:rPr lang="en-GB" sz="1100" b="1" cap="small">
              <a:solidFill>
                <a:schemeClr val="dk1"/>
              </a:solidFill>
              <a:effectLst/>
              <a:latin typeface="+mn-lt"/>
              <a:ea typeface="+mn-ea"/>
              <a:cs typeface="+mn-cs"/>
            </a:rPr>
            <a:t>(Exhibit 2)</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A template table and chart are provided.</a:t>
          </a:r>
        </a:p>
        <a:p>
          <a:r>
            <a:rPr lang="en-GB" sz="1100">
              <a:solidFill>
                <a:schemeClr val="dk1"/>
              </a:solidFill>
              <a:effectLst/>
              <a:latin typeface="+mn-lt"/>
              <a:ea typeface="+mn-ea"/>
              <a:cs typeface="+mn-cs"/>
            </a:rPr>
            <a:t>NOTE: The entire width of the prototype may not fit on your screen.</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Enter the total number of person-weeks for each staff member in the column that represents his or her level. (M-1, P-5, P-4, P-3, P-2, P-1, SP-3. SP-1, Temp). For example, if two P-3s will work on the project, combine their person-wks in the P-3 column; don't give each employee its own column.   </a:t>
          </a:r>
        </a:p>
        <a:p>
          <a:r>
            <a:rPr lang="en-GB" sz="1100">
              <a:solidFill>
                <a:schemeClr val="dk1"/>
              </a:solidFill>
              <a:effectLst/>
              <a:latin typeface="+mn-lt"/>
              <a:ea typeface="+mn-ea"/>
              <a:cs typeface="+mn-cs"/>
            </a:rPr>
            <a:t>Only use person-weeks; do not use person-months, person-days, etc.</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Estimate the person-weeks in terms of working time, not calendar time. For example, if you estimate that a worker will need to spend 50 full-time working days on the project, count that as 10 person-weeks.</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Use your judgment on whether or not, for this particular work scope, you should round to the nearest whole person-week.</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Only enter person-weeks (in the staff columns) and the direct-cost amounts (if any; see below) All other numbers are calculated automatically; our current salaries and overhead rate are built into the table.</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Enter person-weeks for temporary or part time workers in the Temp column. </a:t>
          </a:r>
        </a:p>
        <a:p>
          <a:r>
            <a:rPr lang="en-GB" sz="1100">
              <a:solidFill>
                <a:schemeClr val="dk1"/>
              </a:solidFill>
              <a:effectLst/>
              <a:latin typeface="+mn-lt"/>
              <a:ea typeface="+mn-ea"/>
              <a:cs typeface="+mn-cs"/>
            </a:rPr>
            <a:t>The salary for temps that is built into the table assumes certain dollars/hour and hours/week. Those figures are found in the notes found BELOW the exhibit templates. If the temp(s) working on your project will have a different pay rate and/or you are assuming that a different number of hours/week make up the person-weeks you are entering in the "Temp" column of the table, change those figures where they appear below the table. If you are not sure of your temp’s pay rate, consult a member of Finance and Operations.</a:t>
          </a:r>
        </a:p>
        <a:p>
          <a:r>
            <a:rPr lang="en-GB" sz="1100">
              <a:solidFill>
                <a:schemeClr val="dk1"/>
              </a:solidFill>
              <a:effectLst/>
              <a:latin typeface="+mn-lt"/>
              <a:ea typeface="+mn-ea"/>
              <a:cs typeface="+mn-cs"/>
            </a:rPr>
            <a:t> </a:t>
          </a:r>
        </a:p>
        <a:p>
          <a:r>
            <a:rPr lang="en-GB" sz="1100">
              <a:solidFill>
                <a:schemeClr val="dk1"/>
              </a:solidFill>
              <a:effectLst/>
              <a:latin typeface="+mn-lt"/>
              <a:ea typeface="+mn-ea"/>
              <a:cs typeface="+mn-cs"/>
            </a:rPr>
            <a:t>Remove Any Rows Not Required for Tasks</a:t>
          </a:r>
        </a:p>
        <a:p>
          <a:r>
            <a:rPr lang="en-GB" sz="1100">
              <a:solidFill>
                <a:schemeClr val="dk1"/>
              </a:solidFill>
              <a:effectLst/>
              <a:latin typeface="+mn-lt"/>
              <a:ea typeface="+mn-ea"/>
              <a:cs typeface="+mn-cs"/>
            </a:rPr>
            <a:t>(It will probably be easiest to do this after you have finished the rest of your work on the table.) For any staff positions that do not apply, ensure that those columns are filled with zeros. Do NOT remove columns for staff positions that do not apply.</a:t>
          </a:r>
        </a:p>
        <a:p>
          <a:r>
            <a:rPr lang="en-GB" sz="1100">
              <a:solidFill>
                <a:schemeClr val="dk1"/>
              </a:solidFill>
              <a:effectLst/>
              <a:latin typeface="+mn-lt"/>
              <a:ea typeface="+mn-ea"/>
              <a:cs typeface="+mn-cs"/>
            </a:rPr>
            <a:t>	</a:t>
          </a:r>
        </a:p>
        <a:p>
          <a:r>
            <a:rPr lang="en-GB" sz="1100" b="1">
              <a:solidFill>
                <a:schemeClr val="dk1"/>
              </a:solidFill>
              <a:effectLst/>
              <a:latin typeface="+mn-lt"/>
              <a:ea typeface="+mn-ea"/>
              <a:cs typeface="+mn-cs"/>
            </a:rPr>
            <a:t>Other Direct Costs</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Determining Which Cost Categories (If Any) to Complete in This Section</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Only those categories listed below may appear in this section of the table. Each category must meet the listed requirements to have</a:t>
          </a:r>
          <a:r>
            <a:rPr lang="en-GB" sz="1100" baseline="0">
              <a:solidFill>
                <a:schemeClr val="dk1"/>
              </a:solidFill>
              <a:effectLst/>
              <a:latin typeface="+mn-lt"/>
              <a:ea typeface="+mn-ea"/>
              <a:cs typeface="+mn-cs"/>
            </a:rPr>
            <a:t> a non-zero cost</a:t>
          </a:r>
          <a:r>
            <a:rPr lang="en-GB" sz="1100">
              <a:solidFill>
                <a:schemeClr val="dk1"/>
              </a:solidFill>
              <a:effectLst/>
              <a:latin typeface="+mn-lt"/>
              <a:ea typeface="+mn-ea"/>
              <a:cs typeface="+mn-cs"/>
            </a:rPr>
            <a:t>. Follow the instructions below to determine which, if any, of the six categories you should complete. Consult a member of Finance and Operations if you have any questions about this table. If you do not have costs in any category listed, enter "0" for the cost; the line will be omitted automatically in the generated chart. Do NOT delete the lines that do not apply to you.</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Travel</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any travel expenses, regardless of costs, if there will be any project-related travel.</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General office equipment</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general office equipment if </a:t>
          </a:r>
          <a:r>
            <a:rPr lang="en-GB" sz="1100" b="1">
              <a:solidFill>
                <a:schemeClr val="dk1"/>
              </a:solidFill>
              <a:effectLst/>
              <a:latin typeface="+mn-lt"/>
              <a:ea typeface="+mn-ea"/>
              <a:cs typeface="+mn-cs"/>
            </a:rPr>
            <a:t>BOTH</a:t>
          </a:r>
          <a:r>
            <a:rPr lang="en-GB" sz="1100">
              <a:solidFill>
                <a:schemeClr val="dk1"/>
              </a:solidFill>
              <a:effectLst/>
              <a:latin typeface="+mn-lt"/>
              <a:ea typeface="+mn-ea"/>
              <a:cs typeface="+mn-cs"/>
            </a:rPr>
            <a:t> of the following conditions are met:</a:t>
          </a:r>
        </a:p>
        <a:p>
          <a:r>
            <a:rPr lang="en-GB" sz="1100">
              <a:solidFill>
                <a:schemeClr val="dk1"/>
              </a:solidFill>
              <a:effectLst/>
              <a:latin typeface="+mn-lt"/>
              <a:ea typeface="+mn-ea"/>
              <a:cs typeface="+mn-cs"/>
            </a:rPr>
            <a:t>(a) The total cost of equipment will be $1,000 or more.</a:t>
          </a:r>
        </a:p>
        <a:p>
          <a:r>
            <a:rPr lang="en-GB" sz="1100">
              <a:solidFill>
                <a:schemeClr val="dk1"/>
              </a:solidFill>
              <a:effectLst/>
              <a:latin typeface="+mn-lt"/>
              <a:ea typeface="+mn-ea"/>
              <a:cs typeface="+mn-cs"/>
            </a:rPr>
            <a:t>(b) General office equipment has been included in the CONTRACT budget expressly for the project for which you are developing a work scope. (Most of the general office equipment in contract budgets is for all of the projects funded by the contract and should not appear in an individual project's work scope.)</a:t>
          </a:r>
        </a:p>
        <a:p>
          <a:r>
            <a:rPr lang="en-GB" sz="1100" i="1">
              <a:solidFill>
                <a:schemeClr val="dk1"/>
              </a:solidFill>
              <a:effectLst/>
              <a:latin typeface="+mn-lt"/>
              <a:ea typeface="+mn-ea"/>
              <a:cs typeface="+mn-cs"/>
            </a:rPr>
            <a:t>Data processing equipment</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data processing equipment only if </a:t>
          </a:r>
          <a:r>
            <a:rPr lang="en-GB" sz="1100" b="1">
              <a:solidFill>
                <a:schemeClr val="dk1"/>
              </a:solidFill>
              <a:effectLst/>
              <a:latin typeface="+mn-lt"/>
              <a:ea typeface="+mn-ea"/>
              <a:cs typeface="+mn-cs"/>
            </a:rPr>
            <a:t>BOTH</a:t>
          </a:r>
          <a:r>
            <a:rPr lang="en-GB" sz="1100">
              <a:solidFill>
                <a:schemeClr val="dk1"/>
              </a:solidFill>
              <a:effectLst/>
              <a:latin typeface="+mn-lt"/>
              <a:ea typeface="+mn-ea"/>
              <a:cs typeface="+mn-cs"/>
            </a:rPr>
            <a:t> of the following conditions are met:</a:t>
          </a:r>
        </a:p>
        <a:p>
          <a:r>
            <a:rPr lang="en-GB" sz="1100">
              <a:solidFill>
                <a:schemeClr val="dk1"/>
              </a:solidFill>
              <a:effectLst/>
              <a:latin typeface="+mn-lt"/>
              <a:ea typeface="+mn-ea"/>
              <a:cs typeface="+mn-cs"/>
            </a:rPr>
            <a:t>(a) The total cost of equipment will be $1,000 or more.</a:t>
          </a:r>
        </a:p>
        <a:p>
          <a:r>
            <a:rPr lang="en-GB" sz="1100">
              <a:solidFill>
                <a:schemeClr val="dk1"/>
              </a:solidFill>
              <a:effectLst/>
              <a:latin typeface="+mn-lt"/>
              <a:ea typeface="+mn-ea"/>
              <a:cs typeface="+mn-cs"/>
            </a:rPr>
            <a:t>(b) Data processing equipment has been included in the CONTRACT budget expressly for the project for which you are developing a work scope. (Most of the data processing equipment in contract budgets is for all of the projects funded by the contract and should not appear in an individual project's work scope.)</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Consultants</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Include consultants only if </a:t>
          </a:r>
          <a:r>
            <a:rPr lang="en-GB" sz="1100" b="1" i="1">
              <a:solidFill>
                <a:schemeClr val="dk1"/>
              </a:solidFill>
              <a:effectLst/>
              <a:latin typeface="+mn-lt"/>
              <a:ea typeface="+mn-ea"/>
              <a:cs typeface="+mn-cs"/>
            </a:rPr>
            <a:t>BOTH</a:t>
          </a:r>
          <a:r>
            <a:rPr lang="en-GB" sz="1100">
              <a:solidFill>
                <a:schemeClr val="dk1"/>
              </a:solidFill>
              <a:effectLst/>
              <a:latin typeface="+mn-lt"/>
              <a:ea typeface="+mn-ea"/>
              <a:cs typeface="+mn-cs"/>
            </a:rPr>
            <a:t> of the following conditions are met:</a:t>
          </a:r>
        </a:p>
        <a:p>
          <a:r>
            <a:rPr lang="en-GB" sz="1100">
              <a:solidFill>
                <a:schemeClr val="dk1"/>
              </a:solidFill>
              <a:effectLst/>
              <a:latin typeface="+mn-lt"/>
              <a:ea typeface="+mn-ea"/>
              <a:cs typeface="+mn-cs"/>
            </a:rPr>
            <a:t>(a) The total cost of consultants will be $1,000 or more.</a:t>
          </a:r>
        </a:p>
        <a:p>
          <a:r>
            <a:rPr lang="en-GB" sz="1100">
              <a:solidFill>
                <a:schemeClr val="dk1"/>
              </a:solidFill>
              <a:effectLst/>
              <a:latin typeface="+mn-lt"/>
              <a:ea typeface="+mn-ea"/>
              <a:cs typeface="+mn-cs"/>
            </a:rPr>
            <a:t>(b) Consultants have been included in the CONTRACT budget expressly for the project for which you are developing a work scope.</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Printing</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Consult a member of Finance and Operations if you think printing costs should be included in your table. In order for printing costs to be eligible, they need to have been included in the CONTRACT budget—and to have been included there expressly for the project for which you are developing a work scope. Printing costs MAY be eligible for inclusion in this table even if they total less than $1,000. </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Other (          )</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Place all eligible categories not covered by the preceding categories here. Specify in parentheses after "Other" the categories that you include here, such as postage or office supplies. To be eligible, a category must meet BOTH of the following conditions:</a:t>
          </a:r>
        </a:p>
        <a:p>
          <a:r>
            <a:rPr lang="en-GB" sz="1100">
              <a:solidFill>
                <a:schemeClr val="dk1"/>
              </a:solidFill>
              <a:effectLst/>
              <a:latin typeface="+mn-lt"/>
              <a:ea typeface="+mn-ea"/>
              <a:cs typeface="+mn-cs"/>
            </a:rPr>
            <a:t>(a) The cost of the INDIVIDUAL category will be $1,000 or more (meaning the cost of, for example, postage, not the total cost of "Other"). NOTE: All costs under $1,000 are covered by overhead (except travel and sometimes printing).</a:t>
          </a:r>
        </a:p>
        <a:p>
          <a:r>
            <a:rPr lang="en-GB" sz="1100">
              <a:solidFill>
                <a:schemeClr val="dk1"/>
              </a:solidFill>
              <a:effectLst/>
              <a:latin typeface="+mn-lt"/>
              <a:ea typeface="+mn-ea"/>
              <a:cs typeface="+mn-cs"/>
            </a:rPr>
            <a:t>(b) The individual category (for example, postage) has been included in the CONTRACT budget expressly for the project for which you are developing a work scope. </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After Determining Which Categories to Include</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Because the template table lists all six of the possible categories, you must enter "0" for any costs your project will not incur.</a:t>
          </a:r>
        </a:p>
        <a:p>
          <a:r>
            <a:rPr lang="en-GB" sz="1100">
              <a:solidFill>
                <a:schemeClr val="dk1"/>
              </a:solidFill>
              <a:effectLst/>
              <a:latin typeface="+mn-lt"/>
              <a:ea typeface="+mn-ea"/>
              <a:cs typeface="+mn-cs"/>
            </a:rPr>
            <a:t>If your table contains ONLY the "Other" category, designate it by a category name, for example “Postage and office supplies,” instead of designating it "Other (postage and office supplies)." </a:t>
          </a:r>
        </a:p>
        <a:p>
          <a:r>
            <a:rPr lang="en-GB" sz="1100">
              <a:solidFill>
                <a:schemeClr val="dk1"/>
              </a:solidFill>
              <a:effectLst/>
              <a:latin typeface="+mn-lt"/>
              <a:ea typeface="+mn-ea"/>
              <a:cs typeface="+mn-cs"/>
            </a:rPr>
            <a:t>If none of the possible categories applies to your project, enter "0" for all six. Do NOT delete any rows in the "Other Direct Costs" section.</a:t>
          </a:r>
          <a:endParaRPr lang="en-GB" sz="1100"/>
        </a:p>
      </xdr:txBody>
    </xdr:sp>
    <xdr:clientData fPrintsWithSheet="0"/>
  </xdr:twoCellAnchor>
  <xdr:twoCellAnchor editAs="oneCell">
    <xdr:from>
      <xdr:col>19</xdr:col>
      <xdr:colOff>19050</xdr:colOff>
      <xdr:row>0</xdr:row>
      <xdr:rowOff>19050</xdr:rowOff>
    </xdr:from>
    <xdr:to>
      <xdr:col>52</xdr:col>
      <xdr:colOff>95250</xdr:colOff>
      <xdr:row>0</xdr:row>
      <xdr:rowOff>3933825</xdr:rowOff>
    </xdr:to>
    <xdr:sp macro="" textlink="">
      <xdr:nvSpPr>
        <xdr:cNvPr id="4" name="TextBox 3"/>
        <xdr:cNvSpPr txBox="1"/>
      </xdr:nvSpPr>
      <xdr:spPr>
        <a:xfrm>
          <a:off x="14763750" y="19050"/>
          <a:ext cx="5486400" cy="3914775"/>
        </a:xfrm>
        <a:prstGeom prst="rect">
          <a:avLst/>
        </a:prstGeom>
        <a:solidFill>
          <a:srgbClr val="FFFFCC"/>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cap="small">
              <a:solidFill>
                <a:schemeClr val="dk1"/>
              </a:solidFill>
              <a:effectLst/>
              <a:latin typeface="+mn-lt"/>
              <a:ea typeface="+mn-ea"/>
              <a:cs typeface="+mn-cs"/>
            </a:rPr>
            <a:t>Instructions for Schedule Chart (Exhibit 1)</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Select a Time Unit for the Schedule Chart</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Click the button labelled "Change the Period of the Estimated Schedule" above the Exhibit template.</a:t>
          </a:r>
        </a:p>
        <a:p>
          <a:r>
            <a:rPr lang="en-GB" sz="1100">
              <a:solidFill>
                <a:schemeClr val="dk1"/>
              </a:solidFill>
              <a:effectLst/>
              <a:latin typeface="+mn-lt"/>
              <a:ea typeface="+mn-ea"/>
              <a:cs typeface="+mn-cs"/>
            </a:rPr>
            <a:t>If your project will be three months long or longer, use whichever designation you think is most appropriate for your particular project.</a:t>
          </a:r>
        </a:p>
        <a:p>
          <a:r>
            <a:rPr lang="en-GB" sz="1100">
              <a:solidFill>
                <a:schemeClr val="dk1"/>
              </a:solidFill>
              <a:effectLst/>
              <a:latin typeface="+mn-lt"/>
              <a:ea typeface="+mn-ea"/>
              <a:cs typeface="+mn-cs"/>
            </a:rPr>
            <a:t>If your project will be shorter than three months long, select Weeks.</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Remove the Task Rows and Time-Unit Columns that You Do Not Need</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Make Each Bar in the Chart the Appropriate Length</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Cut and paste pieces of the bars or copy and paste pieces to set the bars at the length that you need.</a:t>
          </a:r>
        </a:p>
        <a:p>
          <a:r>
            <a:rPr lang="en-GB" sz="1100">
              <a:solidFill>
                <a:schemeClr val="dk1"/>
              </a:solidFill>
              <a:effectLst/>
              <a:latin typeface="+mn-lt"/>
              <a:ea typeface="+mn-ea"/>
              <a:cs typeface="+mn-cs"/>
            </a:rPr>
            <a:t>Bars can be created to indicate fractions of a time unit.</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Task Names</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Task names automatically appear in the schedule chart when you type them in the cost table (Exhibit 2).</a:t>
          </a:r>
        </a:p>
        <a:p>
          <a:r>
            <a:rPr lang="en-GB" sz="1100">
              <a:solidFill>
                <a:schemeClr val="dk1"/>
              </a:solidFill>
              <a:effectLst/>
              <a:latin typeface="+mn-lt"/>
              <a:ea typeface="+mn-ea"/>
              <a:cs typeface="+mn-cs"/>
            </a:rPr>
            <a:t> </a:t>
          </a:r>
        </a:p>
        <a:p>
          <a:r>
            <a:rPr lang="en-GB" sz="1100" i="1">
              <a:solidFill>
                <a:schemeClr val="dk1"/>
              </a:solidFill>
              <a:effectLst/>
              <a:latin typeface="+mn-lt"/>
              <a:ea typeface="+mn-ea"/>
              <a:cs typeface="+mn-cs"/>
            </a:rPr>
            <a:t>Products/Milestone (optional)</a:t>
          </a:r>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Delete the footnote from the prototype chart if you do not want to include products or milestones.</a:t>
          </a:r>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T84"/>
  <sheetViews>
    <sheetView tabSelected="1" workbookViewId="0">
      <selection activeCell="A15" sqref="A15:XFD15"/>
    </sheetView>
  </sheetViews>
  <sheetFormatPr defaultColWidth="8.85546875" defaultRowHeight="12.75" x14ac:dyDescent="0.2"/>
  <cols>
    <col min="1" max="1" width="80.5703125" style="11" customWidth="1"/>
    <col min="2" max="2" width="3.5703125" style="1" customWidth="1"/>
    <col min="3" max="3" width="5.140625" style="10" customWidth="1"/>
    <col min="4" max="4" width="25" style="1" customWidth="1"/>
    <col min="5" max="5" width="0.140625" style="1" customWidth="1"/>
    <col min="6" max="14" width="5.85546875" style="12" customWidth="1"/>
    <col min="15" max="16" width="11.5703125" style="1" customWidth="1"/>
    <col min="17" max="17" width="11.5703125" style="10" customWidth="1"/>
    <col min="18" max="18" width="10" style="10" customWidth="1"/>
    <col min="19" max="19" width="9.28515625" style="1" customWidth="1"/>
    <col min="20" max="20" width="4.140625" style="1" customWidth="1"/>
    <col min="21" max="21" width="2" style="1" customWidth="1"/>
    <col min="22" max="22" width="23.5703125" style="1" customWidth="1"/>
    <col min="23" max="118" width="1.7109375" style="119" customWidth="1"/>
    <col min="119" max="119" width="1.7109375" style="1" customWidth="1"/>
    <col min="120" max="170" width="8.85546875" style="1" customWidth="1"/>
    <col min="171" max="16384" width="8.85546875" style="1"/>
  </cols>
  <sheetData>
    <row r="1" spans="1:173" s="2" customFormat="1" ht="311.25" customHeight="1" x14ac:dyDescent="0.2">
      <c r="A1" s="119"/>
      <c r="C1" s="3"/>
      <c r="F1" s="4"/>
      <c r="G1" s="4"/>
      <c r="H1" s="4"/>
      <c r="I1" s="4"/>
      <c r="J1" s="4"/>
      <c r="K1" s="4"/>
      <c r="L1" s="4"/>
      <c r="M1" s="4"/>
      <c r="N1" s="4"/>
      <c r="Q1" s="3"/>
      <c r="R1" s="3"/>
    </row>
    <row r="2" spans="1:173" s="2" customFormat="1" x14ac:dyDescent="0.2">
      <c r="A2" s="9"/>
      <c r="C2" s="3"/>
      <c r="F2" s="4"/>
      <c r="G2" s="4"/>
      <c r="H2" s="4"/>
      <c r="I2" s="4"/>
      <c r="J2" s="4"/>
      <c r="K2" s="4"/>
      <c r="L2" s="4"/>
      <c r="M2" s="4"/>
      <c r="N2" s="4"/>
      <c r="Q2" s="3"/>
      <c r="R2" s="3"/>
      <c r="V2" s="118" t="s">
        <v>72</v>
      </c>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c r="BQ2" s="118"/>
      <c r="BR2" s="118"/>
      <c r="BS2" s="118"/>
      <c r="BT2" s="118"/>
      <c r="BU2" s="118"/>
      <c r="BV2" s="118"/>
      <c r="BW2" s="118"/>
      <c r="BX2" s="118"/>
      <c r="BY2" s="118"/>
      <c r="BZ2" s="118"/>
      <c r="CA2" s="118"/>
      <c r="CB2" s="118"/>
      <c r="CC2" s="118"/>
      <c r="CD2" s="118"/>
      <c r="CE2" s="118"/>
      <c r="CF2" s="118"/>
      <c r="CG2" s="118"/>
      <c r="CH2" s="118"/>
      <c r="CI2" s="118"/>
      <c r="CJ2" s="118"/>
      <c r="CK2" s="118"/>
      <c r="CL2" s="118"/>
      <c r="CM2" s="118"/>
      <c r="CN2" s="118"/>
      <c r="CO2" s="118"/>
      <c r="CP2" s="118"/>
      <c r="CQ2" s="118"/>
      <c r="CR2" s="118"/>
      <c r="CS2" s="118"/>
      <c r="CT2" s="118"/>
      <c r="CU2" s="118"/>
      <c r="CV2" s="118"/>
      <c r="CW2" s="118"/>
      <c r="CX2" s="118"/>
      <c r="CY2" s="118"/>
      <c r="CZ2" s="118"/>
      <c r="DA2" s="118"/>
      <c r="DB2" s="118"/>
      <c r="DC2" s="118"/>
      <c r="DD2" s="118"/>
      <c r="DE2" s="118"/>
      <c r="DF2" s="118"/>
      <c r="DG2" s="118"/>
      <c r="DH2" s="118"/>
      <c r="DI2" s="118"/>
      <c r="DJ2" s="118"/>
      <c r="DK2" s="118"/>
      <c r="DL2" s="118"/>
      <c r="DM2" s="118"/>
      <c r="DN2" s="118"/>
      <c r="DO2" s="112"/>
    </row>
    <row r="3" spans="1:173" s="7" customFormat="1" x14ac:dyDescent="0.2">
      <c r="A3" s="6"/>
      <c r="C3" s="5"/>
      <c r="F3" s="8"/>
      <c r="G3" s="8"/>
      <c r="H3" s="8"/>
      <c r="I3" s="8"/>
      <c r="J3" s="8"/>
      <c r="K3" s="8"/>
      <c r="L3" s="8"/>
      <c r="M3" s="8"/>
      <c r="N3" s="117"/>
      <c r="Q3" s="5"/>
      <c r="R3" s="5"/>
      <c r="DO3" s="112"/>
    </row>
    <row r="4" spans="1:173" x14ac:dyDescent="0.2">
      <c r="DO4" s="113"/>
    </row>
    <row r="5" spans="1:173" x14ac:dyDescent="0.2">
      <c r="B5" s="13" t="s">
        <v>2</v>
      </c>
      <c r="T5" s="13" t="s">
        <v>3</v>
      </c>
      <c r="U5" s="13"/>
      <c r="DO5" s="113"/>
      <c r="DP5" s="13"/>
      <c r="FL5" s="13" t="s">
        <v>2</v>
      </c>
      <c r="FM5" s="119"/>
    </row>
    <row r="6" spans="1:173" s="16" customFormat="1" ht="15.75" customHeight="1" x14ac:dyDescent="0.2">
      <c r="A6" s="15"/>
      <c r="B6" s="13" t="s">
        <v>4</v>
      </c>
      <c r="C6" s="14"/>
      <c r="F6" s="17"/>
      <c r="G6" s="17"/>
      <c r="H6" s="17"/>
      <c r="I6" s="17"/>
      <c r="J6" s="17"/>
      <c r="K6" s="17"/>
      <c r="L6" s="17"/>
      <c r="M6" s="17"/>
      <c r="N6" s="17"/>
      <c r="Q6" s="14"/>
      <c r="R6" s="14"/>
      <c r="S6" s="1"/>
      <c r="T6" s="13" t="s">
        <v>5</v>
      </c>
      <c r="U6" s="13"/>
      <c r="DO6" s="113"/>
      <c r="DP6" s="126"/>
      <c r="DQ6" s="123"/>
      <c r="DR6" s="123"/>
      <c r="DS6" s="123"/>
      <c r="DT6" s="123"/>
      <c r="DU6" s="123"/>
      <c r="DV6" s="123"/>
      <c r="DW6" s="123"/>
      <c r="DX6" s="123"/>
      <c r="DY6" s="123"/>
      <c r="DZ6" s="123"/>
      <c r="EA6" s="123"/>
      <c r="EB6" s="123"/>
      <c r="EC6" s="123"/>
      <c r="ED6" s="123"/>
      <c r="EE6" s="123"/>
      <c r="EF6" s="123"/>
      <c r="EG6" s="123"/>
      <c r="EH6" s="123"/>
      <c r="EI6" s="123"/>
      <c r="EJ6" s="123"/>
      <c r="EK6" s="123"/>
      <c r="EL6" s="123"/>
      <c r="EM6" s="123"/>
      <c r="EN6" s="123"/>
      <c r="EO6" s="123"/>
      <c r="EP6" s="123"/>
      <c r="EQ6" s="123"/>
      <c r="ER6" s="123"/>
      <c r="ES6" s="123"/>
      <c r="ET6" s="123"/>
      <c r="EU6" s="123"/>
      <c r="EV6" s="123"/>
      <c r="EW6" s="123"/>
      <c r="EX6" s="123"/>
      <c r="EY6" s="123"/>
      <c r="EZ6" s="123"/>
      <c r="FA6" s="123"/>
      <c r="FB6" s="123"/>
      <c r="FC6" s="123"/>
      <c r="FD6" s="123"/>
      <c r="FE6" s="123"/>
      <c r="FF6" s="123"/>
      <c r="FG6" s="123"/>
      <c r="FH6" s="123"/>
      <c r="FI6" s="123"/>
      <c r="FJ6" s="123"/>
      <c r="FK6" s="123"/>
      <c r="FL6" s="126"/>
      <c r="FM6" s="123"/>
      <c r="FN6" s="123"/>
      <c r="FO6" s="123"/>
      <c r="FP6" s="123"/>
      <c r="FQ6" s="123"/>
    </row>
    <row r="7" spans="1:173" s="16" customFormat="1" ht="15.75" customHeight="1" x14ac:dyDescent="0.2">
      <c r="A7" s="15"/>
      <c r="B7" s="13" t="s">
        <v>6</v>
      </c>
      <c r="C7" s="14"/>
      <c r="F7" s="17"/>
      <c r="G7" s="17"/>
      <c r="H7" s="17"/>
      <c r="I7" s="17"/>
      <c r="J7" s="17"/>
      <c r="K7" s="17"/>
      <c r="L7" s="17"/>
      <c r="M7" s="17"/>
      <c r="N7" s="17"/>
      <c r="Q7" s="14"/>
      <c r="R7" s="14"/>
      <c r="S7" s="1"/>
      <c r="T7" s="13" t="str">
        <f>B7</f>
        <v>Maroon Line Extension Ridership Forecasts</v>
      </c>
      <c r="U7" s="13"/>
      <c r="DO7" s="113"/>
      <c r="DP7" s="126"/>
      <c r="DQ7" s="123"/>
      <c r="DR7" s="123"/>
      <c r="DS7" s="123"/>
      <c r="DT7" s="123"/>
      <c r="DU7" s="123"/>
      <c r="DV7" s="123"/>
      <c r="DW7" s="123"/>
      <c r="DX7" s="123"/>
      <c r="DY7" s="123"/>
      <c r="DZ7" s="123"/>
      <c r="EA7" s="123"/>
      <c r="EB7" s="123"/>
      <c r="EC7" s="123"/>
      <c r="ED7" s="123"/>
      <c r="EE7" s="123"/>
      <c r="EF7" s="123"/>
      <c r="EG7" s="123"/>
      <c r="EH7" s="123"/>
      <c r="EI7" s="123"/>
      <c r="EJ7" s="123"/>
      <c r="EK7" s="123"/>
      <c r="EL7" s="123"/>
      <c r="EM7" s="123"/>
      <c r="EN7" s="123"/>
      <c r="EO7" s="123"/>
      <c r="EP7" s="123"/>
      <c r="EQ7" s="123"/>
      <c r="ER7" s="123"/>
      <c r="ES7" s="123"/>
      <c r="ET7" s="123"/>
      <c r="EU7" s="123"/>
      <c r="EV7" s="123"/>
      <c r="EW7" s="123"/>
      <c r="EX7" s="123"/>
      <c r="EY7" s="123"/>
      <c r="EZ7" s="123"/>
      <c r="FA7" s="123"/>
      <c r="FB7" s="123"/>
      <c r="FC7" s="123"/>
      <c r="FD7" s="123"/>
      <c r="FE7" s="123"/>
      <c r="FF7" s="123"/>
      <c r="FG7" s="123"/>
      <c r="FH7" s="123"/>
      <c r="FI7" s="123"/>
      <c r="FJ7" s="123"/>
      <c r="FK7" s="123"/>
      <c r="FL7" s="126"/>
      <c r="FM7" s="123"/>
      <c r="FN7" s="123"/>
      <c r="FO7" s="123"/>
      <c r="FP7" s="123"/>
      <c r="FQ7" s="123"/>
    </row>
    <row r="8" spans="1:173" s="13" customFormat="1" ht="18" customHeight="1" x14ac:dyDescent="0.2">
      <c r="A8" s="19"/>
      <c r="B8" s="16"/>
      <c r="C8" s="18"/>
      <c r="F8" s="12"/>
      <c r="G8" s="12"/>
      <c r="H8" s="12"/>
      <c r="I8" s="12"/>
      <c r="J8" s="12"/>
      <c r="K8" s="12"/>
      <c r="L8" s="12"/>
      <c r="M8" s="12"/>
      <c r="N8" s="12"/>
      <c r="O8" s="1"/>
      <c r="P8" s="1"/>
      <c r="Q8" s="10"/>
      <c r="R8" s="10"/>
      <c r="DO8" s="114"/>
      <c r="DP8" s="126"/>
      <c r="DQ8" s="126"/>
      <c r="DR8" s="126"/>
      <c r="DS8" s="126"/>
      <c r="DT8" s="126"/>
      <c r="DU8" s="126"/>
      <c r="DV8" s="126"/>
      <c r="DW8" s="126"/>
      <c r="DX8" s="126"/>
      <c r="DY8" s="126"/>
      <c r="DZ8" s="126"/>
      <c r="EA8" s="126"/>
      <c r="EB8" s="126"/>
      <c r="EC8" s="126"/>
      <c r="ED8" s="126"/>
      <c r="EE8" s="126"/>
      <c r="EF8" s="126"/>
      <c r="EG8" s="126"/>
      <c r="EH8" s="126"/>
      <c r="EI8" s="126"/>
      <c r="EJ8" s="126"/>
      <c r="EK8" s="126"/>
      <c r="EL8" s="126"/>
      <c r="EM8" s="126"/>
      <c r="EN8" s="126"/>
      <c r="EO8" s="126"/>
      <c r="EP8" s="126"/>
      <c r="EQ8" s="126"/>
      <c r="ER8" s="126"/>
      <c r="ES8" s="126"/>
      <c r="ET8" s="126"/>
      <c r="EU8" s="126"/>
      <c r="EV8" s="126"/>
      <c r="EW8" s="126"/>
      <c r="EX8" s="126"/>
      <c r="EY8" s="126"/>
      <c r="EZ8" s="126"/>
      <c r="FA8" s="126"/>
      <c r="FB8" s="126"/>
      <c r="FC8" s="126"/>
      <c r="FD8" s="126"/>
      <c r="FE8" s="126"/>
      <c r="FF8" s="126"/>
      <c r="FG8" s="126"/>
      <c r="FH8" s="126"/>
      <c r="FI8" s="126"/>
      <c r="FJ8" s="126"/>
      <c r="FK8" s="126"/>
      <c r="FL8" s="126"/>
      <c r="FM8" s="126"/>
      <c r="FN8" s="126"/>
      <c r="FO8" s="126"/>
      <c r="FP8" s="126"/>
      <c r="FQ8" s="126"/>
    </row>
    <row r="9" spans="1:173" ht="15.75" customHeight="1" x14ac:dyDescent="0.2">
      <c r="B9" s="20" t="s">
        <v>7</v>
      </c>
      <c r="C9" s="21"/>
      <c r="D9" s="22"/>
      <c r="E9" s="22"/>
      <c r="F9" s="23"/>
      <c r="G9" s="23"/>
      <c r="H9" s="23"/>
      <c r="I9" s="23"/>
      <c r="J9" s="23"/>
      <c r="K9" s="23"/>
      <c r="L9" s="23"/>
      <c r="M9" s="23"/>
      <c r="N9" s="23"/>
      <c r="O9" s="22"/>
      <c r="P9" s="22"/>
      <c r="Q9" s="21"/>
      <c r="R9" s="87"/>
      <c r="S9" s="24">
        <f>R25</f>
        <v>147061</v>
      </c>
      <c r="DO9" s="113"/>
      <c r="DP9" s="123"/>
      <c r="DQ9" s="123"/>
      <c r="DR9" s="123"/>
      <c r="DS9" s="123"/>
      <c r="DT9" s="123"/>
      <c r="DU9" s="123"/>
      <c r="DV9" s="123"/>
      <c r="DW9" s="123"/>
      <c r="DX9" s="123"/>
      <c r="DY9" s="123"/>
      <c r="DZ9" s="123"/>
      <c r="EA9" s="123"/>
      <c r="EB9" s="123"/>
      <c r="EC9" s="123"/>
      <c r="ED9" s="123"/>
      <c r="EE9" s="123"/>
      <c r="EF9" s="123"/>
      <c r="EG9" s="123"/>
      <c r="EH9" s="123"/>
      <c r="EI9" s="127"/>
      <c r="EJ9" s="123"/>
      <c r="EK9" s="123"/>
      <c r="EL9" s="123"/>
      <c r="EM9" s="123"/>
      <c r="EN9" s="123"/>
      <c r="EO9" s="123"/>
      <c r="EP9" s="123"/>
      <c r="EQ9" s="123"/>
      <c r="ER9" s="123"/>
      <c r="ES9" s="123"/>
      <c r="ET9" s="123"/>
      <c r="EU9" s="123"/>
      <c r="EV9" s="123"/>
      <c r="EW9" s="123"/>
      <c r="EX9" s="123"/>
      <c r="EY9" s="123"/>
      <c r="EZ9" s="123"/>
      <c r="FA9" s="123"/>
      <c r="FB9" s="123"/>
      <c r="FC9" s="123"/>
      <c r="FD9" s="123"/>
      <c r="FE9" s="123"/>
      <c r="FF9" s="123"/>
      <c r="FG9" s="123"/>
      <c r="FH9" s="123"/>
      <c r="FI9" s="123"/>
      <c r="FJ9" s="123"/>
      <c r="FK9" s="123"/>
      <c r="FL9" s="123"/>
      <c r="FM9" s="123"/>
      <c r="FN9" s="123"/>
      <c r="FO9" s="123"/>
      <c r="FP9" s="123"/>
      <c r="FQ9" s="123"/>
    </row>
    <row r="10" spans="1:173" ht="15.75" customHeight="1" x14ac:dyDescent="0.2">
      <c r="B10" s="10"/>
      <c r="C10" s="1"/>
      <c r="E10" s="12"/>
      <c r="N10" s="1"/>
      <c r="P10" s="10"/>
      <c r="Q10" s="25"/>
      <c r="R10" s="1"/>
      <c r="DO10" s="113"/>
      <c r="DP10" s="123"/>
      <c r="DQ10" s="123"/>
      <c r="DR10" s="123"/>
      <c r="DS10" s="123"/>
      <c r="DT10" s="123"/>
      <c r="DU10" s="123"/>
      <c r="DV10" s="123"/>
      <c r="DW10" s="123"/>
      <c r="DX10" s="123"/>
      <c r="DY10" s="123"/>
      <c r="DZ10" s="123"/>
      <c r="EA10" s="123"/>
      <c r="EB10" s="123"/>
      <c r="EC10" s="123"/>
      <c r="ED10" s="123"/>
      <c r="EE10" s="123"/>
      <c r="EF10" s="123"/>
      <c r="EG10" s="123"/>
      <c r="EH10" s="127"/>
      <c r="EI10" s="123"/>
      <c r="EJ10" s="123"/>
      <c r="EK10" s="123"/>
      <c r="EL10" s="123"/>
      <c r="EM10" s="123"/>
      <c r="EN10" s="123"/>
      <c r="EO10" s="123"/>
      <c r="EP10" s="123"/>
      <c r="EQ10" s="123"/>
      <c r="ER10" s="123"/>
      <c r="ES10" s="123"/>
      <c r="ET10" s="123"/>
      <c r="EU10" s="123"/>
      <c r="EV10" s="123"/>
      <c r="EW10" s="123"/>
      <c r="EX10" s="123"/>
      <c r="EY10" s="123"/>
      <c r="EZ10" s="123"/>
      <c r="FA10" s="123"/>
      <c r="FB10" s="123"/>
      <c r="FC10" s="123"/>
      <c r="FD10" s="123"/>
      <c r="FE10" s="123"/>
      <c r="FF10" s="123"/>
      <c r="FG10" s="123"/>
      <c r="FH10" s="123"/>
      <c r="FI10" s="123"/>
      <c r="FJ10" s="123"/>
      <c r="FK10" s="123"/>
      <c r="FL10" s="123"/>
      <c r="FM10" s="123"/>
      <c r="FN10" s="123"/>
      <c r="FO10" s="123"/>
      <c r="FP10" s="123"/>
      <c r="FQ10" s="123"/>
    </row>
    <row r="11" spans="1:173" ht="16.5" x14ac:dyDescent="0.3">
      <c r="B11" s="137" t="s">
        <v>12</v>
      </c>
      <c r="C11" s="138"/>
      <c r="D11" s="139"/>
      <c r="E11" s="26" t="s">
        <v>8</v>
      </c>
      <c r="F11" s="27"/>
      <c r="G11" s="27"/>
      <c r="H11" s="27"/>
      <c r="I11" s="27"/>
      <c r="J11" s="27"/>
      <c r="K11" s="27"/>
      <c r="L11" s="27"/>
      <c r="M11" s="27"/>
      <c r="N11" s="28"/>
      <c r="O11" s="27"/>
      <c r="P11" s="29" t="s">
        <v>9</v>
      </c>
      <c r="Q11" s="29" t="s">
        <v>10</v>
      </c>
      <c r="R11" s="30" t="s">
        <v>11</v>
      </c>
      <c r="S11" s="31"/>
      <c r="T11" s="137" t="s">
        <v>12</v>
      </c>
      <c r="U11" s="143"/>
      <c r="V11" s="139"/>
      <c r="W11" s="132" t="s">
        <v>70</v>
      </c>
      <c r="X11" s="132"/>
      <c r="Y11" s="132"/>
      <c r="Z11" s="132"/>
      <c r="AA11" s="132"/>
      <c r="AB11" s="132"/>
      <c r="AC11" s="132"/>
      <c r="AD11" s="132"/>
      <c r="AE11" s="132"/>
      <c r="AF11" s="132"/>
      <c r="AG11" s="132"/>
      <c r="AH11" s="132"/>
      <c r="AI11" s="132"/>
      <c r="AJ11" s="132"/>
      <c r="AK11" s="132"/>
      <c r="AL11" s="132"/>
      <c r="AM11" s="132"/>
      <c r="AN11" s="132"/>
      <c r="AO11" s="132"/>
      <c r="AP11" s="132"/>
      <c r="AQ11" s="132"/>
      <c r="AR11" s="132"/>
      <c r="AS11" s="132"/>
      <c r="AT11" s="132"/>
      <c r="AU11" s="132"/>
      <c r="AV11" s="132"/>
      <c r="AW11" s="132"/>
      <c r="AX11" s="132"/>
      <c r="AY11" s="132"/>
      <c r="AZ11" s="132"/>
      <c r="BA11" s="132"/>
      <c r="BB11" s="132"/>
      <c r="BC11" s="132"/>
      <c r="BD11" s="132"/>
      <c r="BE11" s="132"/>
      <c r="BF11" s="132"/>
      <c r="BG11" s="132"/>
      <c r="BH11" s="132"/>
      <c r="BI11" s="132"/>
      <c r="BJ11" s="132"/>
      <c r="BK11" s="132"/>
      <c r="BL11" s="132"/>
      <c r="BM11" s="132"/>
      <c r="BN11" s="132"/>
      <c r="BO11" s="132"/>
      <c r="BP11" s="132"/>
      <c r="BQ11" s="132"/>
      <c r="BR11" s="132"/>
      <c r="BS11" s="132"/>
      <c r="BT11" s="132"/>
      <c r="BU11" s="132"/>
      <c r="BV11" s="132"/>
      <c r="BW11" s="132"/>
      <c r="BX11" s="132"/>
      <c r="BY11" s="132"/>
      <c r="BZ11" s="132"/>
      <c r="CA11" s="132"/>
      <c r="CB11" s="132"/>
      <c r="CC11" s="132"/>
      <c r="CD11" s="132"/>
      <c r="CE11" s="132"/>
      <c r="CF11" s="132"/>
      <c r="CG11" s="132"/>
      <c r="CH11" s="132"/>
      <c r="CI11" s="132"/>
      <c r="CJ11" s="132"/>
      <c r="CK11" s="132"/>
      <c r="CL11" s="132"/>
      <c r="CM11" s="132"/>
      <c r="CN11" s="132"/>
      <c r="CO11" s="132"/>
      <c r="CP11" s="132"/>
      <c r="CQ11" s="132"/>
      <c r="CR11" s="132"/>
      <c r="CS11" s="132"/>
      <c r="CT11" s="132"/>
      <c r="CU11" s="132"/>
      <c r="CV11" s="132"/>
      <c r="CW11" s="132"/>
      <c r="CX11" s="132"/>
      <c r="CY11" s="132"/>
      <c r="CZ11" s="132"/>
      <c r="DA11" s="132"/>
      <c r="DB11" s="132"/>
      <c r="DC11" s="132"/>
      <c r="DD11" s="132"/>
      <c r="DE11" s="132"/>
      <c r="DF11" s="132"/>
      <c r="DG11" s="132"/>
      <c r="DH11" s="132"/>
      <c r="DI11" s="132"/>
      <c r="DJ11" s="132"/>
      <c r="DK11" s="132"/>
      <c r="DL11" s="132"/>
      <c r="DM11" s="132"/>
      <c r="DN11" s="132"/>
      <c r="DO11" s="124"/>
      <c r="DP11" s="123"/>
      <c r="DQ11" s="123"/>
      <c r="DR11" s="127"/>
      <c r="DS11" s="127"/>
      <c r="DT11" s="127"/>
      <c r="DU11" s="127"/>
      <c r="DV11" s="127"/>
      <c r="DW11" s="127"/>
      <c r="DX11" s="127"/>
      <c r="DY11" s="127"/>
      <c r="DZ11" s="127"/>
      <c r="EA11" s="127"/>
      <c r="EB11" s="127"/>
      <c r="EC11" s="127"/>
      <c r="ED11" s="127"/>
      <c r="EE11" s="127"/>
      <c r="EF11" s="127"/>
      <c r="EG11" s="127"/>
      <c r="EH11" s="127"/>
      <c r="EI11" s="127"/>
      <c r="EJ11" s="127"/>
      <c r="EK11" s="127"/>
      <c r="EL11" s="127"/>
      <c r="EM11" s="127"/>
      <c r="EN11" s="127"/>
      <c r="EO11" s="127"/>
      <c r="EP11" s="127"/>
      <c r="EQ11" s="127"/>
      <c r="ER11" s="127"/>
      <c r="ES11" s="127"/>
      <c r="ET11" s="127"/>
      <c r="EU11" s="127"/>
      <c r="EV11" s="127"/>
      <c r="EW11" s="127"/>
      <c r="EX11" s="127"/>
      <c r="EY11" s="127"/>
      <c r="EZ11" s="127"/>
      <c r="FA11" s="127"/>
      <c r="FB11" s="127"/>
      <c r="FC11" s="127"/>
      <c r="FD11" s="127"/>
      <c r="FE11" s="127"/>
      <c r="FF11" s="127"/>
      <c r="FG11" s="127"/>
      <c r="FH11" s="127"/>
      <c r="FI11" s="127"/>
      <c r="FJ11" s="127"/>
      <c r="FK11" s="127"/>
      <c r="FL11" s="123"/>
      <c r="FM11" s="123"/>
      <c r="FN11" s="123"/>
      <c r="FO11" s="123"/>
      <c r="FP11" s="123"/>
      <c r="FQ11" s="123"/>
    </row>
    <row r="12" spans="1:173" ht="16.5" customHeight="1" x14ac:dyDescent="0.3">
      <c r="B12" s="140"/>
      <c r="C12" s="141"/>
      <c r="D12" s="142"/>
      <c r="E12" s="32"/>
      <c r="F12" s="33" t="s">
        <v>13</v>
      </c>
      <c r="G12" s="33" t="s">
        <v>14</v>
      </c>
      <c r="H12" s="33" t="s">
        <v>15</v>
      </c>
      <c r="I12" s="33" t="s">
        <v>16</v>
      </c>
      <c r="J12" s="33" t="s">
        <v>17</v>
      </c>
      <c r="K12" s="33" t="s">
        <v>45</v>
      </c>
      <c r="L12" s="33" t="s">
        <v>43</v>
      </c>
      <c r="M12" s="33" t="s">
        <v>44</v>
      </c>
      <c r="N12" s="33" t="s">
        <v>18</v>
      </c>
      <c r="O12" s="34" t="s">
        <v>11</v>
      </c>
      <c r="P12" s="35" t="s">
        <v>19</v>
      </c>
      <c r="Q12" s="36" t="str">
        <f>"(@ " &amp; Overhead &amp; "%)"</f>
        <v>(@ 102.11%)</v>
      </c>
      <c r="R12" s="37" t="s">
        <v>20</v>
      </c>
      <c r="S12" s="31"/>
      <c r="T12" s="140"/>
      <c r="U12" s="141"/>
      <c r="V12" s="142"/>
      <c r="W12" s="135">
        <v>1</v>
      </c>
      <c r="X12" s="135"/>
      <c r="Y12" s="135"/>
      <c r="Z12" s="135"/>
      <c r="AA12" s="136">
        <v>2</v>
      </c>
      <c r="AB12" s="136"/>
      <c r="AC12" s="136"/>
      <c r="AD12" s="136"/>
      <c r="AE12" s="136">
        <v>3</v>
      </c>
      <c r="AF12" s="136"/>
      <c r="AG12" s="136"/>
      <c r="AH12" s="136"/>
      <c r="AI12" s="136">
        <v>4</v>
      </c>
      <c r="AJ12" s="136"/>
      <c r="AK12" s="136"/>
      <c r="AL12" s="136"/>
      <c r="AM12" s="136">
        <v>5</v>
      </c>
      <c r="AN12" s="136"/>
      <c r="AO12" s="136"/>
      <c r="AP12" s="136"/>
      <c r="AQ12" s="136">
        <v>6</v>
      </c>
      <c r="AR12" s="136"/>
      <c r="AS12" s="136"/>
      <c r="AT12" s="136"/>
      <c r="AU12" s="136">
        <v>7</v>
      </c>
      <c r="AV12" s="136"/>
      <c r="AW12" s="136"/>
      <c r="AX12" s="136"/>
      <c r="AY12" s="136">
        <v>8</v>
      </c>
      <c r="AZ12" s="136"/>
      <c r="BA12" s="136"/>
      <c r="BB12" s="136"/>
      <c r="BC12" s="136">
        <v>9</v>
      </c>
      <c r="BD12" s="136"/>
      <c r="BE12" s="136"/>
      <c r="BF12" s="136"/>
      <c r="BG12" s="136">
        <v>10</v>
      </c>
      <c r="BH12" s="136"/>
      <c r="BI12" s="136"/>
      <c r="BJ12" s="136"/>
      <c r="BK12" s="136">
        <v>11</v>
      </c>
      <c r="BL12" s="136"/>
      <c r="BM12" s="136"/>
      <c r="BN12" s="136"/>
      <c r="BO12" s="136">
        <v>12</v>
      </c>
      <c r="BP12" s="136"/>
      <c r="BQ12" s="136"/>
      <c r="BR12" s="136"/>
      <c r="BS12" s="134">
        <v>13</v>
      </c>
      <c r="BT12" s="134"/>
      <c r="BU12" s="134"/>
      <c r="BV12" s="134"/>
      <c r="BW12" s="133">
        <v>14</v>
      </c>
      <c r="BX12" s="133"/>
      <c r="BY12" s="133"/>
      <c r="BZ12" s="133"/>
      <c r="CA12" s="133">
        <v>15</v>
      </c>
      <c r="CB12" s="133"/>
      <c r="CC12" s="133"/>
      <c r="CD12" s="133"/>
      <c r="CE12" s="133">
        <v>16</v>
      </c>
      <c r="CF12" s="133"/>
      <c r="CG12" s="133"/>
      <c r="CH12" s="133"/>
      <c r="CI12" s="133">
        <v>17</v>
      </c>
      <c r="CJ12" s="133"/>
      <c r="CK12" s="133"/>
      <c r="CL12" s="133"/>
      <c r="CM12" s="133">
        <v>18</v>
      </c>
      <c r="CN12" s="133"/>
      <c r="CO12" s="133"/>
      <c r="CP12" s="133"/>
      <c r="CQ12" s="133">
        <v>19</v>
      </c>
      <c r="CR12" s="133"/>
      <c r="CS12" s="133"/>
      <c r="CT12" s="133"/>
      <c r="CU12" s="133">
        <v>20</v>
      </c>
      <c r="CV12" s="133"/>
      <c r="CW12" s="133"/>
      <c r="CX12" s="133"/>
      <c r="CY12" s="133">
        <v>21</v>
      </c>
      <c r="CZ12" s="133"/>
      <c r="DA12" s="133"/>
      <c r="DB12" s="133"/>
      <c r="DC12" s="133">
        <v>22</v>
      </c>
      <c r="DD12" s="133"/>
      <c r="DE12" s="133"/>
      <c r="DF12" s="133"/>
      <c r="DG12" s="133">
        <v>23</v>
      </c>
      <c r="DH12" s="133"/>
      <c r="DI12" s="133"/>
      <c r="DJ12" s="133"/>
      <c r="DK12" s="133">
        <v>24</v>
      </c>
      <c r="DL12" s="133"/>
      <c r="DM12" s="133"/>
      <c r="DN12" s="133"/>
      <c r="DO12" s="124"/>
      <c r="DP12" s="127"/>
      <c r="DQ12" s="127"/>
      <c r="DR12" s="127"/>
      <c r="DS12" s="127"/>
      <c r="DT12" s="127"/>
      <c r="DU12" s="127"/>
      <c r="DV12" s="127"/>
      <c r="DW12" s="127"/>
      <c r="DX12" s="127"/>
      <c r="DY12" s="127"/>
      <c r="DZ12" s="127"/>
      <c r="EA12" s="127"/>
      <c r="EB12" s="127"/>
      <c r="EC12" s="127"/>
      <c r="ED12" s="127"/>
      <c r="EE12" s="127"/>
      <c r="EF12" s="127"/>
      <c r="EG12" s="127"/>
      <c r="EH12" s="127"/>
      <c r="EI12" s="127"/>
      <c r="EJ12" s="127"/>
      <c r="EK12" s="127"/>
      <c r="EL12" s="127"/>
      <c r="EM12" s="127"/>
      <c r="EN12" s="127"/>
      <c r="EO12" s="127"/>
      <c r="EP12" s="127"/>
      <c r="EQ12" s="127"/>
      <c r="ER12" s="127"/>
      <c r="ES12" s="127"/>
      <c r="ET12" s="127"/>
      <c r="EU12" s="127"/>
      <c r="EV12" s="127"/>
      <c r="EW12" s="127"/>
      <c r="EX12" s="127"/>
      <c r="EY12" s="127"/>
      <c r="EZ12" s="127"/>
      <c r="FA12" s="127"/>
      <c r="FB12" s="127"/>
      <c r="FC12" s="127"/>
      <c r="FD12" s="127"/>
      <c r="FE12" s="127"/>
      <c r="FF12" s="127"/>
      <c r="FG12" s="127"/>
      <c r="FH12" s="127"/>
      <c r="FI12" s="127"/>
      <c r="FJ12" s="127"/>
      <c r="FK12" s="127"/>
      <c r="FL12" s="127"/>
      <c r="FM12" s="127"/>
      <c r="FN12" s="123"/>
      <c r="FO12" s="123"/>
      <c r="FP12" s="123"/>
      <c r="FQ12" s="123"/>
    </row>
    <row r="13" spans="1:173" ht="17.25" customHeight="1" x14ac:dyDescent="0.2">
      <c r="B13" s="91" t="s">
        <v>51</v>
      </c>
      <c r="C13" s="92"/>
      <c r="D13" s="92"/>
      <c r="E13" s="93"/>
      <c r="F13" s="93"/>
      <c r="G13" s="93"/>
      <c r="H13" s="93"/>
      <c r="I13" s="93"/>
      <c r="J13" s="93"/>
      <c r="K13" s="93"/>
      <c r="L13" s="93"/>
      <c r="M13" s="93"/>
      <c r="N13" s="93"/>
      <c r="O13" s="92"/>
      <c r="P13" s="92"/>
      <c r="Q13" s="94"/>
      <c r="R13" s="95"/>
      <c r="S13" s="92"/>
      <c r="T13" s="121"/>
      <c r="U13" s="145" t="s">
        <v>40</v>
      </c>
      <c r="V13" s="145"/>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13"/>
      <c r="DP13" s="123"/>
      <c r="DQ13" s="123"/>
      <c r="DR13" s="123"/>
      <c r="DS13" s="123"/>
      <c r="DT13" s="123"/>
      <c r="DU13" s="123"/>
      <c r="DV13" s="123"/>
      <c r="DW13" s="123"/>
      <c r="DX13" s="123"/>
      <c r="DY13" s="123"/>
      <c r="DZ13" s="123"/>
      <c r="EA13" s="123"/>
      <c r="EB13" s="123"/>
      <c r="EC13" s="123"/>
      <c r="ED13" s="123"/>
      <c r="EE13" s="123"/>
      <c r="EF13" s="123"/>
      <c r="EG13" s="123"/>
      <c r="EH13" s="123"/>
      <c r="EI13" s="123"/>
      <c r="EJ13" s="123"/>
      <c r="EK13" s="123"/>
      <c r="EL13" s="123"/>
      <c r="EM13" s="123"/>
      <c r="EN13" s="123"/>
      <c r="EO13" s="123"/>
      <c r="EP13" s="123"/>
      <c r="EQ13" s="123"/>
      <c r="ER13" s="123"/>
      <c r="ES13" s="123"/>
      <c r="ET13" s="123"/>
      <c r="EU13" s="123"/>
      <c r="EV13" s="123"/>
      <c r="EW13" s="123"/>
      <c r="EX13" s="123"/>
      <c r="EY13" s="123"/>
      <c r="EZ13" s="123"/>
      <c r="FA13" s="123"/>
      <c r="FB13" s="123"/>
      <c r="FC13" s="123"/>
      <c r="FD13" s="123"/>
      <c r="FE13" s="123"/>
      <c r="FF13" s="123"/>
      <c r="FG13" s="123"/>
      <c r="FH13" s="123"/>
      <c r="FI13" s="123"/>
      <c r="FJ13" s="123"/>
      <c r="FK13" s="123"/>
      <c r="FL13" s="123"/>
      <c r="FM13" s="123"/>
      <c r="FN13" s="123"/>
      <c r="FO13" s="123"/>
      <c r="FP13" s="123"/>
      <c r="FQ13" s="123"/>
    </row>
    <row r="14" spans="1:173" ht="13.7" customHeight="1" x14ac:dyDescent="0.2">
      <c r="B14" s="10" t="str">
        <f>"  1. "</f>
        <v xml:space="preserve">  1. </v>
      </c>
      <c r="C14" s="1" t="s">
        <v>53</v>
      </c>
      <c r="E14" s="39">
        <v>0</v>
      </c>
      <c r="F14" s="39">
        <v>1</v>
      </c>
      <c r="G14" s="39">
        <v>0</v>
      </c>
      <c r="H14" s="39">
        <v>0</v>
      </c>
      <c r="I14" s="39">
        <v>0</v>
      </c>
      <c r="J14" s="39">
        <v>0</v>
      </c>
      <c r="K14" s="39">
        <v>0</v>
      </c>
      <c r="L14" s="39">
        <v>0</v>
      </c>
      <c r="M14" s="39">
        <v>0</v>
      </c>
      <c r="N14" s="39">
        <v>0</v>
      </c>
      <c r="O14" s="85">
        <f t="shared" ref="O14:O23" si="0">SUM(F14:N14)</f>
        <v>1</v>
      </c>
      <c r="P14" s="40">
        <f t="shared" ref="P14:P22" si="1">O71</f>
        <v>1859.6153846153845</v>
      </c>
      <c r="Q14" s="38">
        <f t="shared" ref="Q14:Q23" si="2">P14*D$51/100</f>
        <v>1898.853269230769</v>
      </c>
      <c r="R14" s="38">
        <f t="shared" ref="R14:R23" si="3">ROUND(SUM(P14+Q14),0)</f>
        <v>3758</v>
      </c>
      <c r="S14" s="88"/>
      <c r="T14" s="122" t="str">
        <f t="shared" ref="T14:T23" si="4">B14</f>
        <v xml:space="preserve">  1. </v>
      </c>
      <c r="U14" s="146" t="str">
        <f t="shared" ref="U14:U23" si="5">C14</f>
        <v>Do first thing</v>
      </c>
      <c r="V14" s="147"/>
      <c r="W14" s="41"/>
      <c r="X14" s="42"/>
      <c r="Y14" s="42"/>
      <c r="Z14" s="42"/>
      <c r="AA14" s="42"/>
      <c r="AB14" s="43"/>
      <c r="BS14" s="123"/>
      <c r="BT14" s="123"/>
      <c r="BU14" s="123"/>
      <c r="BV14" s="123"/>
      <c r="BW14" s="123"/>
      <c r="BX14" s="123"/>
      <c r="BY14" s="123"/>
      <c r="BZ14" s="123"/>
      <c r="CA14" s="123"/>
      <c r="CB14" s="123"/>
      <c r="CC14" s="123"/>
      <c r="CD14" s="123"/>
      <c r="CE14" s="123"/>
      <c r="CF14" s="123"/>
      <c r="CG14" s="123"/>
      <c r="CH14" s="123"/>
      <c r="CI14" s="123"/>
      <c r="CJ14" s="123"/>
      <c r="CK14" s="123"/>
      <c r="CL14" s="123"/>
      <c r="CM14" s="123"/>
      <c r="CN14" s="123"/>
      <c r="CO14" s="123"/>
      <c r="CP14" s="123"/>
      <c r="CQ14" s="123"/>
      <c r="CR14" s="123"/>
      <c r="CS14" s="123"/>
      <c r="CT14" s="123"/>
      <c r="CU14" s="123"/>
      <c r="CV14" s="123"/>
      <c r="CW14" s="123"/>
      <c r="CX14" s="123"/>
      <c r="CY14" s="123"/>
      <c r="CZ14" s="123"/>
      <c r="DA14" s="123"/>
      <c r="DB14" s="123"/>
      <c r="DC14" s="123"/>
      <c r="DD14" s="123"/>
      <c r="DE14" s="123"/>
      <c r="DF14" s="123"/>
      <c r="DG14" s="123"/>
      <c r="DH14" s="123"/>
      <c r="DI14" s="123"/>
      <c r="DJ14" s="123"/>
      <c r="DK14" s="123"/>
      <c r="DL14" s="123"/>
      <c r="DM14" s="123"/>
      <c r="DN14" s="123"/>
      <c r="DO14" s="113"/>
      <c r="DP14" s="123"/>
      <c r="DQ14" s="123"/>
      <c r="DR14" s="123"/>
      <c r="DS14" s="123"/>
      <c r="DT14" s="123"/>
      <c r="DU14" s="123"/>
      <c r="DV14" s="123"/>
      <c r="DW14" s="123"/>
      <c r="DX14" s="123"/>
      <c r="DY14" s="123"/>
      <c r="DZ14" s="123"/>
      <c r="EA14" s="123"/>
      <c r="EB14" s="123"/>
      <c r="EC14" s="123"/>
      <c r="ED14" s="123"/>
      <c r="EE14" s="123"/>
      <c r="EF14" s="123"/>
      <c r="EG14" s="123"/>
      <c r="EH14" s="123"/>
      <c r="EI14" s="123"/>
      <c r="EJ14" s="123"/>
      <c r="EK14" s="123"/>
      <c r="EL14" s="123"/>
      <c r="EM14" s="123"/>
      <c r="EN14" s="123"/>
      <c r="EO14" s="123"/>
      <c r="EP14" s="123"/>
      <c r="EQ14" s="123"/>
      <c r="ER14" s="123"/>
      <c r="ES14" s="123"/>
      <c r="ET14" s="123"/>
      <c r="EU14" s="123"/>
      <c r="EV14" s="123"/>
      <c r="EW14" s="123"/>
      <c r="EX14" s="123"/>
      <c r="EY14" s="123"/>
      <c r="EZ14" s="123"/>
      <c r="FA14" s="123"/>
      <c r="FB14" s="123"/>
      <c r="FC14" s="123"/>
      <c r="FD14" s="123"/>
      <c r="FE14" s="123"/>
      <c r="FF14" s="123"/>
      <c r="FG14" s="123"/>
      <c r="FH14" s="123"/>
      <c r="FI14" s="123"/>
      <c r="FJ14" s="123"/>
      <c r="FK14" s="123"/>
      <c r="FL14" s="123"/>
      <c r="FM14" s="123"/>
      <c r="FN14" s="123"/>
      <c r="FO14" s="123"/>
      <c r="FP14" s="123"/>
      <c r="FQ14" s="123"/>
    </row>
    <row r="15" spans="1:173" ht="13.7" customHeight="1" x14ac:dyDescent="0.2">
      <c r="B15" s="10" t="str">
        <f>"  2. "</f>
        <v xml:space="preserve">  2. </v>
      </c>
      <c r="C15" s="1" t="s">
        <v>62</v>
      </c>
      <c r="E15" s="39">
        <v>0</v>
      </c>
      <c r="F15" s="39">
        <v>0</v>
      </c>
      <c r="G15" s="39">
        <v>2</v>
      </c>
      <c r="H15" s="39">
        <v>0</v>
      </c>
      <c r="I15" s="39">
        <v>0</v>
      </c>
      <c r="J15" s="39">
        <v>0</v>
      </c>
      <c r="K15" s="39">
        <v>0</v>
      </c>
      <c r="L15" s="39">
        <v>0</v>
      </c>
      <c r="M15" s="39">
        <v>0</v>
      </c>
      <c r="N15" s="39">
        <v>0</v>
      </c>
      <c r="O15" s="85">
        <f t="shared" si="0"/>
        <v>2</v>
      </c>
      <c r="P15" s="40">
        <f t="shared" si="1"/>
        <v>3973.0769230769229</v>
      </c>
      <c r="Q15" s="38">
        <f t="shared" si="2"/>
        <v>4056.9088461538458</v>
      </c>
      <c r="R15" s="38">
        <f t="shared" si="3"/>
        <v>8030</v>
      </c>
      <c r="T15" s="122" t="str">
        <f t="shared" si="4"/>
        <v xml:space="preserve">  2. </v>
      </c>
      <c r="U15" s="146" t="str">
        <f t="shared" si="5"/>
        <v>Do second thing</v>
      </c>
      <c r="V15" s="146"/>
      <c r="AC15" s="41"/>
      <c r="AD15" s="42"/>
      <c r="AE15" s="42"/>
      <c r="AF15" s="42"/>
      <c r="AG15" s="42"/>
      <c r="AH15" s="42"/>
      <c r="AI15" s="42"/>
      <c r="AJ15" s="42"/>
      <c r="AK15" s="42"/>
      <c r="AL15" s="42"/>
      <c r="AM15" s="42"/>
      <c r="AN15" s="42"/>
      <c r="AO15" s="42"/>
      <c r="AP15" s="42"/>
      <c r="AQ15" s="42"/>
      <c r="AR15" s="42"/>
      <c r="AS15" s="42"/>
      <c r="AT15" s="42"/>
      <c r="AU15" s="43" t="s">
        <v>22</v>
      </c>
      <c r="BS15" s="125"/>
      <c r="BT15" s="125"/>
      <c r="BU15" s="129"/>
      <c r="BV15" s="129"/>
      <c r="BW15" s="129"/>
      <c r="BX15" s="129"/>
      <c r="BY15" s="129"/>
      <c r="BZ15" s="129"/>
      <c r="CA15" s="129"/>
      <c r="CB15" s="129"/>
      <c r="CC15" s="129"/>
      <c r="CD15" s="129"/>
      <c r="CE15" s="129"/>
      <c r="CF15" s="129"/>
      <c r="CG15" s="129"/>
      <c r="CH15" s="129"/>
      <c r="CI15" s="129"/>
      <c r="CJ15" s="129"/>
      <c r="CK15" s="129"/>
      <c r="CL15" s="129"/>
      <c r="CM15" s="129"/>
      <c r="CN15" s="129"/>
      <c r="CO15" s="129"/>
      <c r="CP15" s="129"/>
      <c r="CQ15" s="129"/>
      <c r="CR15" s="129"/>
      <c r="CS15" s="129"/>
      <c r="CT15" s="129"/>
      <c r="CU15" s="129"/>
      <c r="CV15" s="129"/>
      <c r="CW15" s="129"/>
      <c r="CX15" s="129"/>
      <c r="CY15" s="129"/>
      <c r="CZ15" s="129"/>
      <c r="DA15" s="129"/>
      <c r="DB15" s="129"/>
      <c r="DC15" s="129"/>
      <c r="DD15" s="129"/>
      <c r="DE15" s="129"/>
      <c r="DF15" s="129"/>
      <c r="DG15" s="129"/>
      <c r="DH15" s="129"/>
      <c r="DI15" s="129"/>
      <c r="DJ15" s="129"/>
      <c r="DK15" s="129"/>
      <c r="DL15" s="129"/>
      <c r="DM15" s="129"/>
      <c r="DN15" s="129"/>
      <c r="DO15" s="113"/>
      <c r="DP15" s="123"/>
      <c r="DQ15" s="123"/>
      <c r="DR15" s="123"/>
      <c r="DS15" s="123"/>
      <c r="DT15" s="123"/>
      <c r="DU15" s="123"/>
      <c r="DV15" s="123"/>
      <c r="DW15" s="123"/>
      <c r="DX15" s="123"/>
      <c r="DY15" s="123"/>
      <c r="DZ15" s="123"/>
      <c r="EA15" s="123"/>
      <c r="EB15" s="123"/>
      <c r="EC15" s="123"/>
      <c r="ED15" s="123"/>
      <c r="EE15" s="123"/>
      <c r="EF15" s="123"/>
      <c r="EG15" s="123"/>
      <c r="EH15" s="123"/>
      <c r="EI15" s="123"/>
      <c r="EJ15" s="123"/>
      <c r="EK15" s="123"/>
      <c r="EL15" s="123"/>
      <c r="EM15" s="123"/>
      <c r="EN15" s="123"/>
      <c r="EO15" s="123"/>
      <c r="EP15" s="123"/>
      <c r="EQ15" s="123"/>
      <c r="ER15" s="123"/>
      <c r="ES15" s="123"/>
      <c r="ET15" s="123"/>
      <c r="EU15" s="123"/>
      <c r="EV15" s="123"/>
      <c r="EW15" s="123"/>
      <c r="EX15" s="123"/>
      <c r="EY15" s="123"/>
      <c r="EZ15" s="123"/>
      <c r="FA15" s="123"/>
      <c r="FB15" s="123"/>
      <c r="FC15" s="123"/>
      <c r="FD15" s="123"/>
      <c r="FE15" s="123"/>
      <c r="FF15" s="123"/>
      <c r="FG15" s="123"/>
      <c r="FH15" s="123"/>
      <c r="FI15" s="123"/>
      <c r="FJ15" s="123"/>
      <c r="FK15" s="123"/>
      <c r="FL15" s="123"/>
      <c r="FM15" s="123"/>
      <c r="FN15" s="123"/>
      <c r="FO15" s="123"/>
      <c r="FP15" s="123"/>
      <c r="FQ15" s="123"/>
    </row>
    <row r="16" spans="1:173" ht="13.7" customHeight="1" x14ac:dyDescent="0.2">
      <c r="B16" s="10" t="str">
        <f>"  3. "</f>
        <v xml:space="preserve">  3. </v>
      </c>
      <c r="C16" s="1" t="s">
        <v>54</v>
      </c>
      <c r="E16" s="39">
        <v>0</v>
      </c>
      <c r="F16" s="39">
        <v>0</v>
      </c>
      <c r="G16" s="39">
        <v>0</v>
      </c>
      <c r="H16" s="39">
        <v>3</v>
      </c>
      <c r="I16" s="39">
        <v>0</v>
      </c>
      <c r="J16" s="39">
        <v>0</v>
      </c>
      <c r="K16" s="39">
        <v>0</v>
      </c>
      <c r="L16" s="39">
        <v>0</v>
      </c>
      <c r="M16" s="39">
        <v>0</v>
      </c>
      <c r="N16" s="39">
        <v>0</v>
      </c>
      <c r="O16" s="85">
        <f t="shared" si="0"/>
        <v>3</v>
      </c>
      <c r="P16" s="40">
        <f t="shared" si="1"/>
        <v>4338.4615384615381</v>
      </c>
      <c r="Q16" s="38">
        <f t="shared" si="2"/>
        <v>4430.0030769230762</v>
      </c>
      <c r="R16" s="38">
        <f t="shared" si="3"/>
        <v>8768</v>
      </c>
      <c r="T16" s="122" t="str">
        <f t="shared" si="4"/>
        <v xml:space="preserve">  3. </v>
      </c>
      <c r="U16" s="146" t="str">
        <f t="shared" si="5"/>
        <v>Do third thing</v>
      </c>
      <c r="V16" s="146"/>
      <c r="AP16" s="41"/>
      <c r="AQ16" s="42"/>
      <c r="AR16" s="42"/>
      <c r="AS16" s="42"/>
      <c r="AT16" s="42"/>
      <c r="AU16" s="42"/>
      <c r="AV16" s="42"/>
      <c r="AW16" s="42"/>
      <c r="AX16" s="42"/>
      <c r="AY16" s="42"/>
      <c r="AZ16" s="42"/>
      <c r="BA16" s="42"/>
      <c r="BB16" s="42"/>
      <c r="BC16" s="42"/>
      <c r="BD16" s="42"/>
      <c r="BE16" s="42"/>
      <c r="BF16" s="42" t="s">
        <v>24</v>
      </c>
      <c r="BG16" s="42"/>
      <c r="BH16" s="42"/>
      <c r="BI16" s="42"/>
      <c r="BJ16" s="42"/>
      <c r="BK16" s="42"/>
      <c r="BL16" s="42"/>
      <c r="BM16" s="42"/>
      <c r="BN16" s="42"/>
      <c r="BO16" s="42"/>
      <c r="BP16" s="42"/>
      <c r="BQ16" s="42"/>
      <c r="BR16" s="43" t="s">
        <v>25</v>
      </c>
      <c r="BS16" s="125"/>
      <c r="BT16" s="125"/>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13"/>
      <c r="DP16" s="123"/>
      <c r="DQ16" s="123"/>
      <c r="DR16" s="123"/>
      <c r="DS16" s="123"/>
      <c r="DT16" s="123"/>
      <c r="DU16" s="123"/>
      <c r="DV16" s="123"/>
      <c r="DW16" s="123"/>
      <c r="DX16" s="123"/>
      <c r="DY16" s="123"/>
      <c r="DZ16" s="123"/>
      <c r="EA16" s="123"/>
      <c r="EB16" s="123"/>
      <c r="EC16" s="123"/>
      <c r="ED16" s="123"/>
      <c r="EE16" s="123"/>
      <c r="EF16" s="123"/>
      <c r="EG16" s="123"/>
      <c r="EH16" s="123"/>
      <c r="EI16" s="123"/>
      <c r="EJ16" s="123"/>
      <c r="EK16" s="123"/>
      <c r="EL16" s="123"/>
      <c r="EM16" s="123"/>
      <c r="EN16" s="123"/>
      <c r="EO16" s="123"/>
      <c r="EP16" s="123"/>
      <c r="EQ16" s="123"/>
      <c r="ER16" s="123"/>
      <c r="ES16" s="123"/>
      <c r="ET16" s="123"/>
      <c r="EU16" s="123"/>
      <c r="EV16" s="123"/>
      <c r="EW16" s="123"/>
      <c r="EX16" s="123"/>
      <c r="EY16" s="123"/>
      <c r="EZ16" s="123"/>
      <c r="FA16" s="123"/>
      <c r="FB16" s="123"/>
      <c r="FC16" s="123"/>
      <c r="FD16" s="123"/>
      <c r="FE16" s="123"/>
      <c r="FF16" s="123"/>
      <c r="FG16" s="123"/>
      <c r="FH16" s="123"/>
      <c r="FI16" s="123"/>
      <c r="FJ16" s="123"/>
      <c r="FK16" s="123"/>
      <c r="FL16" s="123"/>
      <c r="FM16" s="123"/>
      <c r="FN16" s="123"/>
      <c r="FO16" s="123"/>
      <c r="FP16" s="123"/>
      <c r="FQ16" s="123"/>
    </row>
    <row r="17" spans="2:173" ht="13.7" customHeight="1" x14ac:dyDescent="0.2">
      <c r="B17" s="10" t="str">
        <f>"  4. "</f>
        <v xml:space="preserve">  4. </v>
      </c>
      <c r="C17" s="1" t="s">
        <v>55</v>
      </c>
      <c r="E17" s="39">
        <v>0</v>
      </c>
      <c r="F17" s="39">
        <v>0</v>
      </c>
      <c r="G17" s="39">
        <v>0</v>
      </c>
      <c r="H17" s="39">
        <v>0</v>
      </c>
      <c r="I17" s="39">
        <v>4</v>
      </c>
      <c r="J17" s="39">
        <v>0</v>
      </c>
      <c r="K17" s="39">
        <v>0</v>
      </c>
      <c r="L17" s="39">
        <v>0</v>
      </c>
      <c r="M17" s="39">
        <v>0</v>
      </c>
      <c r="N17" s="39">
        <v>0</v>
      </c>
      <c r="O17" s="85">
        <f t="shared" si="0"/>
        <v>4</v>
      </c>
      <c r="P17" s="40">
        <f t="shared" si="1"/>
        <v>5038.4615384615381</v>
      </c>
      <c r="Q17" s="38">
        <f t="shared" si="2"/>
        <v>5144.7730769230766</v>
      </c>
      <c r="R17" s="38">
        <f t="shared" si="3"/>
        <v>10183</v>
      </c>
      <c r="T17" s="122" t="str">
        <f t="shared" si="4"/>
        <v xml:space="preserve">  4. </v>
      </c>
      <c r="U17" s="146" t="str">
        <f t="shared" si="5"/>
        <v>Do fourth thing</v>
      </c>
      <c r="V17" s="147"/>
      <c r="W17" s="41"/>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3"/>
      <c r="BS17" s="123"/>
      <c r="BT17" s="123"/>
      <c r="BU17" s="123"/>
      <c r="BV17" s="123"/>
      <c r="BW17" s="123"/>
      <c r="BX17" s="123"/>
      <c r="BY17" s="123"/>
      <c r="BZ17" s="123"/>
      <c r="CA17" s="123"/>
      <c r="CB17" s="123"/>
      <c r="CC17" s="123"/>
      <c r="CD17" s="123"/>
      <c r="CE17" s="123"/>
      <c r="CF17" s="123"/>
      <c r="CG17" s="123"/>
      <c r="CH17" s="123"/>
      <c r="CI17" s="123"/>
      <c r="CJ17" s="123"/>
      <c r="CK17" s="123"/>
      <c r="CL17" s="123"/>
      <c r="CM17" s="123"/>
      <c r="CN17" s="123"/>
      <c r="CO17" s="123"/>
      <c r="CP17" s="123"/>
      <c r="CQ17" s="123"/>
      <c r="CR17" s="123"/>
      <c r="CS17" s="123"/>
      <c r="CT17" s="123"/>
      <c r="CU17" s="123"/>
      <c r="CV17" s="123"/>
      <c r="CW17" s="123"/>
      <c r="CX17" s="123"/>
      <c r="CY17" s="123"/>
      <c r="CZ17" s="123"/>
      <c r="DA17" s="123"/>
      <c r="DB17" s="123"/>
      <c r="DC17" s="123"/>
      <c r="DD17" s="123"/>
      <c r="DE17" s="123"/>
      <c r="DF17" s="123"/>
      <c r="DG17" s="123"/>
      <c r="DH17" s="123"/>
      <c r="DI17" s="123"/>
      <c r="DJ17" s="123"/>
      <c r="DK17" s="123"/>
      <c r="DL17" s="123"/>
      <c r="DM17" s="123"/>
      <c r="DN17" s="123"/>
      <c r="DO17" s="113"/>
      <c r="DP17" s="123"/>
      <c r="DQ17" s="123"/>
      <c r="DR17" s="123"/>
      <c r="DS17" s="123"/>
      <c r="DT17" s="123"/>
      <c r="DU17" s="123"/>
      <c r="DV17" s="123"/>
      <c r="DW17" s="123"/>
      <c r="DX17" s="123"/>
      <c r="DY17" s="123"/>
      <c r="DZ17" s="123"/>
      <c r="EA17" s="123"/>
      <c r="EB17" s="123"/>
      <c r="EC17" s="123"/>
      <c r="ED17" s="123"/>
      <c r="EE17" s="123"/>
      <c r="EF17" s="123"/>
      <c r="EG17" s="123"/>
      <c r="EH17" s="123"/>
      <c r="EI17" s="123"/>
      <c r="EJ17" s="123"/>
      <c r="EK17" s="123"/>
      <c r="EL17" s="123"/>
      <c r="EM17" s="123"/>
      <c r="EN17" s="123"/>
      <c r="EO17" s="123"/>
      <c r="EP17" s="123"/>
      <c r="EQ17" s="123"/>
      <c r="ER17" s="123"/>
      <c r="ES17" s="123"/>
      <c r="ET17" s="123"/>
      <c r="EU17" s="123"/>
      <c r="EV17" s="123"/>
      <c r="EW17" s="123"/>
      <c r="EX17" s="123"/>
      <c r="EY17" s="123"/>
      <c r="EZ17" s="123"/>
      <c r="FA17" s="123"/>
      <c r="FB17" s="123"/>
      <c r="FC17" s="123"/>
      <c r="FD17" s="123"/>
      <c r="FE17" s="123"/>
      <c r="FF17" s="123"/>
      <c r="FG17" s="123"/>
      <c r="FH17" s="123"/>
      <c r="FI17" s="123"/>
      <c r="FJ17" s="123"/>
      <c r="FK17" s="123"/>
      <c r="FL17" s="123"/>
      <c r="FM17" s="123"/>
      <c r="FN17" s="123"/>
      <c r="FO17" s="123"/>
      <c r="FP17" s="123"/>
      <c r="FQ17" s="123"/>
    </row>
    <row r="18" spans="2:173" ht="13.7" customHeight="1" x14ac:dyDescent="0.2">
      <c r="B18" s="10" t="str">
        <f>"  5. "</f>
        <v xml:space="preserve">  5. </v>
      </c>
      <c r="C18" s="1" t="s">
        <v>56</v>
      </c>
      <c r="E18" s="39">
        <v>0</v>
      </c>
      <c r="F18" s="39">
        <v>0</v>
      </c>
      <c r="G18" s="39">
        <v>0</v>
      </c>
      <c r="H18" s="39">
        <v>0</v>
      </c>
      <c r="I18" s="39">
        <v>0</v>
      </c>
      <c r="J18" s="39">
        <v>0</v>
      </c>
      <c r="K18" s="39">
        <v>5</v>
      </c>
      <c r="L18" s="39">
        <v>0</v>
      </c>
      <c r="M18" s="39">
        <v>0</v>
      </c>
      <c r="N18" s="39">
        <v>0</v>
      </c>
      <c r="O18" s="85">
        <f t="shared" si="0"/>
        <v>5</v>
      </c>
      <c r="P18" s="40">
        <f t="shared" si="1"/>
        <v>4759.6153846153848</v>
      </c>
      <c r="Q18" s="38">
        <f t="shared" si="2"/>
        <v>4860.0432692307695</v>
      </c>
      <c r="R18" s="38">
        <f t="shared" si="3"/>
        <v>9620</v>
      </c>
      <c r="T18" s="122" t="str">
        <f t="shared" si="4"/>
        <v xml:space="preserve">  5. </v>
      </c>
      <c r="U18" s="146" t="str">
        <f t="shared" si="5"/>
        <v>Do fifth thing</v>
      </c>
      <c r="V18" s="147"/>
      <c r="W18" s="41"/>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3"/>
      <c r="BS18" s="123"/>
      <c r="BT18" s="123"/>
      <c r="BU18" s="123"/>
      <c r="BV18" s="123"/>
      <c r="BW18" s="123"/>
      <c r="BX18" s="123"/>
      <c r="BY18" s="123"/>
      <c r="BZ18" s="123"/>
      <c r="CA18" s="123"/>
      <c r="CB18" s="123"/>
      <c r="CC18" s="123"/>
      <c r="CD18" s="123"/>
      <c r="CE18" s="123"/>
      <c r="CF18" s="123"/>
      <c r="CG18" s="123"/>
      <c r="CH18" s="123"/>
      <c r="CI18" s="123"/>
      <c r="CJ18" s="123"/>
      <c r="CK18" s="123"/>
      <c r="CL18" s="123"/>
      <c r="CM18" s="123"/>
      <c r="CN18" s="123"/>
      <c r="CO18" s="123"/>
      <c r="CP18" s="123"/>
      <c r="CQ18" s="123"/>
      <c r="CR18" s="123"/>
      <c r="CS18" s="123"/>
      <c r="CT18" s="123"/>
      <c r="CU18" s="123"/>
      <c r="CV18" s="123"/>
      <c r="CW18" s="123"/>
      <c r="CX18" s="123"/>
      <c r="CY18" s="123"/>
      <c r="CZ18" s="123"/>
      <c r="DA18" s="123"/>
      <c r="DB18" s="123"/>
      <c r="DC18" s="123"/>
      <c r="DD18" s="123"/>
      <c r="DE18" s="123"/>
      <c r="DF18" s="123"/>
      <c r="DG18" s="123"/>
      <c r="DH18" s="123"/>
      <c r="DI18" s="123"/>
      <c r="DJ18" s="123"/>
      <c r="DK18" s="123"/>
      <c r="DL18" s="123"/>
      <c r="DM18" s="123"/>
      <c r="DN18" s="123"/>
      <c r="DO18" s="113"/>
      <c r="DP18" s="123"/>
      <c r="DQ18" s="123"/>
      <c r="DR18" s="123"/>
      <c r="DS18" s="123"/>
      <c r="DT18" s="123"/>
      <c r="DU18" s="123"/>
      <c r="DV18" s="123"/>
      <c r="DW18" s="123"/>
      <c r="DX18" s="123"/>
      <c r="DY18" s="123"/>
      <c r="DZ18" s="123"/>
      <c r="EA18" s="123"/>
      <c r="EB18" s="123"/>
      <c r="EC18" s="123"/>
      <c r="ED18" s="123"/>
      <c r="EE18" s="123"/>
      <c r="EF18" s="123"/>
      <c r="EG18" s="123"/>
      <c r="EH18" s="123"/>
      <c r="EI18" s="123"/>
      <c r="EJ18" s="123"/>
      <c r="EK18" s="123"/>
      <c r="EL18" s="123"/>
      <c r="EM18" s="123"/>
      <c r="EN18" s="123"/>
      <c r="EO18" s="123"/>
      <c r="EP18" s="123"/>
      <c r="EQ18" s="123"/>
      <c r="ER18" s="123"/>
      <c r="ES18" s="123"/>
      <c r="ET18" s="123"/>
      <c r="EU18" s="123"/>
      <c r="EV18" s="123"/>
      <c r="EW18" s="123"/>
      <c r="EX18" s="123"/>
      <c r="EY18" s="123"/>
      <c r="EZ18" s="123"/>
      <c r="FA18" s="123"/>
      <c r="FB18" s="123"/>
      <c r="FC18" s="123"/>
      <c r="FD18" s="123"/>
      <c r="FE18" s="123"/>
      <c r="FF18" s="123"/>
      <c r="FG18" s="123"/>
      <c r="FH18" s="123"/>
      <c r="FI18" s="123"/>
      <c r="FJ18" s="123"/>
      <c r="FK18" s="123"/>
      <c r="FL18" s="123"/>
      <c r="FM18" s="123"/>
      <c r="FN18" s="123"/>
      <c r="FO18" s="123"/>
      <c r="FP18" s="123"/>
      <c r="FQ18" s="123"/>
    </row>
    <row r="19" spans="2:173" ht="13.7" customHeight="1" x14ac:dyDescent="0.2">
      <c r="B19" s="10" t="str">
        <f>"  6. "</f>
        <v xml:space="preserve">  6. </v>
      </c>
      <c r="C19" s="1" t="s">
        <v>57</v>
      </c>
      <c r="E19" s="39">
        <v>0</v>
      </c>
      <c r="F19" s="39">
        <v>0</v>
      </c>
      <c r="G19" s="39">
        <v>0</v>
      </c>
      <c r="H19" s="39">
        <v>0</v>
      </c>
      <c r="I19" s="39">
        <v>0</v>
      </c>
      <c r="J19" s="39">
        <v>0</v>
      </c>
      <c r="K19" s="39">
        <v>0</v>
      </c>
      <c r="L19" s="39">
        <v>0</v>
      </c>
      <c r="M19" s="39">
        <v>0</v>
      </c>
      <c r="N19" s="39">
        <v>6</v>
      </c>
      <c r="O19" s="85">
        <f t="shared" si="0"/>
        <v>6</v>
      </c>
      <c r="P19" s="40">
        <f t="shared" si="1"/>
        <v>3173.0769230769229</v>
      </c>
      <c r="Q19" s="38">
        <f t="shared" si="2"/>
        <v>3240.0288461538457</v>
      </c>
      <c r="R19" s="38">
        <f t="shared" si="3"/>
        <v>6413</v>
      </c>
      <c r="T19" s="122" t="str">
        <f t="shared" si="4"/>
        <v xml:space="preserve">  6. </v>
      </c>
      <c r="U19" s="146" t="str">
        <f t="shared" si="5"/>
        <v>Do sixth thing</v>
      </c>
      <c r="V19" s="147"/>
      <c r="W19" s="41"/>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3"/>
      <c r="BS19" s="123"/>
      <c r="BT19" s="123"/>
      <c r="BU19" s="123"/>
      <c r="BV19" s="123"/>
      <c r="BW19" s="123"/>
      <c r="BX19" s="123"/>
      <c r="BY19" s="123"/>
      <c r="BZ19" s="123"/>
      <c r="CA19" s="123"/>
      <c r="CB19" s="123"/>
      <c r="CC19" s="123"/>
      <c r="CD19" s="123"/>
      <c r="CE19" s="123"/>
      <c r="CF19" s="123"/>
      <c r="CG19" s="123"/>
      <c r="CH19" s="123"/>
      <c r="CI19" s="123"/>
      <c r="CJ19" s="123"/>
      <c r="CK19" s="123"/>
      <c r="CL19" s="123"/>
      <c r="CM19" s="123"/>
      <c r="CN19" s="123"/>
      <c r="CO19" s="123"/>
      <c r="CP19" s="123"/>
      <c r="CQ19" s="123"/>
      <c r="CR19" s="123"/>
      <c r="CS19" s="123"/>
      <c r="CT19" s="123"/>
      <c r="CU19" s="123"/>
      <c r="CV19" s="123"/>
      <c r="CW19" s="123"/>
      <c r="CX19" s="123"/>
      <c r="CY19" s="123"/>
      <c r="CZ19" s="123"/>
      <c r="DA19" s="123"/>
      <c r="DB19" s="123"/>
      <c r="DC19" s="123"/>
      <c r="DD19" s="123"/>
      <c r="DE19" s="123"/>
      <c r="DF19" s="123"/>
      <c r="DG19" s="123"/>
      <c r="DH19" s="123"/>
      <c r="DI19" s="123"/>
      <c r="DJ19" s="123"/>
      <c r="DK19" s="123"/>
      <c r="DL19" s="123"/>
      <c r="DM19" s="123"/>
      <c r="DN19" s="123"/>
      <c r="DO19" s="113"/>
      <c r="DP19" s="123"/>
      <c r="DQ19" s="123"/>
      <c r="DR19" s="123"/>
      <c r="DS19" s="123"/>
      <c r="DT19" s="123"/>
      <c r="DU19" s="123"/>
      <c r="DV19" s="123"/>
      <c r="DW19" s="123"/>
      <c r="DX19" s="123"/>
      <c r="DY19" s="123"/>
      <c r="DZ19" s="123"/>
      <c r="EA19" s="123"/>
      <c r="EB19" s="123"/>
      <c r="EC19" s="123"/>
      <c r="ED19" s="123"/>
      <c r="EE19" s="123"/>
      <c r="EF19" s="123"/>
      <c r="EG19" s="123"/>
      <c r="EH19" s="123"/>
      <c r="EI19" s="123"/>
      <c r="EJ19" s="123"/>
      <c r="EK19" s="123"/>
      <c r="EL19" s="123"/>
      <c r="EM19" s="123"/>
      <c r="EN19" s="123"/>
      <c r="EO19" s="123"/>
      <c r="EP19" s="123"/>
      <c r="EQ19" s="123"/>
      <c r="ER19" s="123"/>
      <c r="ES19" s="123"/>
      <c r="ET19" s="123"/>
      <c r="EU19" s="123"/>
      <c r="EV19" s="123"/>
      <c r="EW19" s="123"/>
      <c r="EX19" s="123"/>
      <c r="EY19" s="123"/>
      <c r="EZ19" s="123"/>
      <c r="FA19" s="123"/>
      <c r="FB19" s="123"/>
      <c r="FC19" s="123"/>
      <c r="FD19" s="123"/>
      <c r="FE19" s="123"/>
      <c r="FF19" s="123"/>
      <c r="FG19" s="123"/>
      <c r="FH19" s="123"/>
      <c r="FI19" s="123"/>
      <c r="FJ19" s="123"/>
      <c r="FK19" s="123"/>
      <c r="FL19" s="123"/>
      <c r="FM19" s="123"/>
      <c r="FN19" s="123"/>
      <c r="FO19" s="123"/>
      <c r="FP19" s="123"/>
      <c r="FQ19" s="123"/>
    </row>
    <row r="20" spans="2:173" ht="13.7" customHeight="1" x14ac:dyDescent="0.2">
      <c r="B20" s="10" t="str">
        <f>"  7. "</f>
        <v xml:space="preserve">  7. </v>
      </c>
      <c r="C20" s="1" t="s">
        <v>58</v>
      </c>
      <c r="E20" s="39">
        <v>0</v>
      </c>
      <c r="F20" s="39">
        <v>0</v>
      </c>
      <c r="G20" s="39">
        <v>0</v>
      </c>
      <c r="H20" s="39">
        <v>0</v>
      </c>
      <c r="I20" s="39">
        <v>0</v>
      </c>
      <c r="J20" s="39">
        <v>0</v>
      </c>
      <c r="K20" s="39">
        <v>7</v>
      </c>
      <c r="L20" s="39">
        <v>0</v>
      </c>
      <c r="M20" s="39">
        <v>0</v>
      </c>
      <c r="N20" s="39">
        <v>0</v>
      </c>
      <c r="O20" s="85">
        <f t="shared" si="0"/>
        <v>7</v>
      </c>
      <c r="P20" s="40">
        <f t="shared" si="1"/>
        <v>6663.4615384615381</v>
      </c>
      <c r="Q20" s="38">
        <f t="shared" si="2"/>
        <v>6804.060576923076</v>
      </c>
      <c r="R20" s="38">
        <f t="shared" si="3"/>
        <v>13468</v>
      </c>
      <c r="T20" s="122" t="str">
        <f t="shared" si="4"/>
        <v xml:space="preserve">  7. </v>
      </c>
      <c r="U20" s="146" t="str">
        <f t="shared" si="5"/>
        <v>Do seventh thing</v>
      </c>
      <c r="V20" s="147"/>
      <c r="W20" s="41"/>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3"/>
      <c r="BS20" s="123"/>
      <c r="BT20" s="123"/>
      <c r="BU20" s="123"/>
      <c r="BV20" s="123"/>
      <c r="BW20" s="123"/>
      <c r="BX20" s="123"/>
      <c r="BY20" s="123"/>
      <c r="BZ20" s="123"/>
      <c r="CA20" s="123"/>
      <c r="CB20" s="123"/>
      <c r="CC20" s="123"/>
      <c r="CD20" s="123"/>
      <c r="CE20" s="123"/>
      <c r="CF20" s="123"/>
      <c r="CG20" s="123"/>
      <c r="CH20" s="123"/>
      <c r="CI20" s="123"/>
      <c r="CJ20" s="123"/>
      <c r="CK20" s="123"/>
      <c r="CL20" s="123"/>
      <c r="CM20" s="123"/>
      <c r="CN20" s="123"/>
      <c r="CO20" s="123"/>
      <c r="CP20" s="123"/>
      <c r="CQ20" s="123"/>
      <c r="CR20" s="123"/>
      <c r="CS20" s="123"/>
      <c r="CT20" s="123"/>
      <c r="CU20" s="123"/>
      <c r="CV20" s="123"/>
      <c r="CW20" s="123"/>
      <c r="CX20" s="123"/>
      <c r="CY20" s="123"/>
      <c r="CZ20" s="123"/>
      <c r="DA20" s="123"/>
      <c r="DB20" s="123"/>
      <c r="DC20" s="123"/>
      <c r="DD20" s="123"/>
      <c r="DE20" s="123"/>
      <c r="DF20" s="123"/>
      <c r="DG20" s="123"/>
      <c r="DH20" s="123"/>
      <c r="DI20" s="123"/>
      <c r="DJ20" s="123"/>
      <c r="DK20" s="123"/>
      <c r="DL20" s="123"/>
      <c r="DM20" s="123"/>
      <c r="DN20" s="123"/>
      <c r="DO20" s="113"/>
      <c r="DP20" s="123"/>
      <c r="DQ20" s="123"/>
      <c r="DR20" s="123"/>
      <c r="DS20" s="123"/>
      <c r="DT20" s="123"/>
      <c r="DU20" s="123"/>
      <c r="DV20" s="123"/>
      <c r="DW20" s="123"/>
      <c r="DX20" s="123"/>
      <c r="DY20" s="123"/>
      <c r="DZ20" s="123"/>
      <c r="EA20" s="123"/>
      <c r="EB20" s="123"/>
      <c r="EC20" s="123"/>
      <c r="ED20" s="123"/>
      <c r="EE20" s="123"/>
      <c r="EF20" s="123"/>
      <c r="EG20" s="123"/>
      <c r="EH20" s="123"/>
      <c r="EI20" s="123"/>
      <c r="EJ20" s="123"/>
      <c r="EK20" s="123"/>
      <c r="EL20" s="123"/>
      <c r="EM20" s="123"/>
      <c r="EN20" s="123"/>
      <c r="EO20" s="123"/>
      <c r="EP20" s="123"/>
      <c r="EQ20" s="123"/>
      <c r="ER20" s="123"/>
      <c r="ES20" s="123"/>
      <c r="ET20" s="123"/>
      <c r="EU20" s="123"/>
      <c r="EV20" s="123"/>
      <c r="EW20" s="123"/>
      <c r="EX20" s="123"/>
      <c r="EY20" s="123"/>
      <c r="EZ20" s="123"/>
      <c r="FA20" s="123"/>
      <c r="FB20" s="123"/>
      <c r="FC20" s="123"/>
      <c r="FD20" s="123"/>
      <c r="FE20" s="123"/>
      <c r="FF20" s="123"/>
      <c r="FG20" s="123"/>
      <c r="FH20" s="123"/>
      <c r="FI20" s="123"/>
      <c r="FJ20" s="123"/>
      <c r="FK20" s="123"/>
      <c r="FL20" s="123"/>
      <c r="FM20" s="123"/>
      <c r="FN20" s="123"/>
      <c r="FO20" s="123"/>
      <c r="FP20" s="123"/>
      <c r="FQ20" s="123"/>
    </row>
    <row r="21" spans="2:173" ht="13.7" customHeight="1" x14ac:dyDescent="0.2">
      <c r="B21" s="10" t="str">
        <f>"  8. "</f>
        <v xml:space="preserve">  8. </v>
      </c>
      <c r="C21" s="1" t="s">
        <v>59</v>
      </c>
      <c r="E21" s="39">
        <v>0</v>
      </c>
      <c r="F21" s="39">
        <v>0</v>
      </c>
      <c r="G21" s="39">
        <v>0</v>
      </c>
      <c r="H21" s="39">
        <v>0</v>
      </c>
      <c r="I21" s="39">
        <v>8</v>
      </c>
      <c r="J21" s="39">
        <v>0</v>
      </c>
      <c r="K21" s="39">
        <v>0</v>
      </c>
      <c r="L21" s="39">
        <v>0</v>
      </c>
      <c r="M21" s="39">
        <v>0</v>
      </c>
      <c r="N21" s="39">
        <v>0</v>
      </c>
      <c r="O21" s="85">
        <f t="shared" si="0"/>
        <v>8</v>
      </c>
      <c r="P21" s="40">
        <f t="shared" si="1"/>
        <v>10076.923076923076</v>
      </c>
      <c r="Q21" s="38">
        <f t="shared" si="2"/>
        <v>10289.546153846153</v>
      </c>
      <c r="R21" s="38">
        <f t="shared" si="3"/>
        <v>20366</v>
      </c>
      <c r="T21" s="122" t="str">
        <f t="shared" si="4"/>
        <v xml:space="preserve">  8. </v>
      </c>
      <c r="U21" s="146" t="str">
        <f t="shared" si="5"/>
        <v>Do eighth thing</v>
      </c>
      <c r="V21" s="147"/>
      <c r="W21" s="41"/>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3"/>
      <c r="BS21" s="123"/>
      <c r="BT21" s="123"/>
      <c r="BU21" s="123"/>
      <c r="BV21" s="123"/>
      <c r="BW21" s="123"/>
      <c r="BX21" s="123"/>
      <c r="BY21" s="123"/>
      <c r="BZ21" s="123"/>
      <c r="CA21" s="123"/>
      <c r="CB21" s="123"/>
      <c r="CC21" s="123"/>
      <c r="CD21" s="123"/>
      <c r="CE21" s="123"/>
      <c r="CF21" s="123"/>
      <c r="CG21" s="123"/>
      <c r="CH21" s="123"/>
      <c r="CI21" s="123"/>
      <c r="CJ21" s="123"/>
      <c r="CK21" s="123"/>
      <c r="CL21" s="123"/>
      <c r="CM21" s="123"/>
      <c r="CN21" s="123"/>
      <c r="CO21" s="123"/>
      <c r="CP21" s="123"/>
      <c r="CQ21" s="123"/>
      <c r="CR21" s="123"/>
      <c r="CS21" s="123"/>
      <c r="CT21" s="123"/>
      <c r="CU21" s="123"/>
      <c r="CV21" s="123"/>
      <c r="CW21" s="123"/>
      <c r="CX21" s="123"/>
      <c r="CY21" s="123"/>
      <c r="CZ21" s="123"/>
      <c r="DA21" s="123"/>
      <c r="DB21" s="123"/>
      <c r="DC21" s="123"/>
      <c r="DD21" s="123"/>
      <c r="DE21" s="123"/>
      <c r="DF21" s="123"/>
      <c r="DG21" s="123"/>
      <c r="DH21" s="123"/>
      <c r="DI21" s="123"/>
      <c r="DJ21" s="123"/>
      <c r="DK21" s="123"/>
      <c r="DL21" s="123"/>
      <c r="DM21" s="123"/>
      <c r="DN21" s="123"/>
      <c r="DO21" s="113"/>
      <c r="DP21" s="123"/>
      <c r="DQ21" s="123"/>
      <c r="DR21" s="123"/>
      <c r="DS21" s="123"/>
      <c r="DT21" s="123"/>
      <c r="DU21" s="123"/>
      <c r="DV21" s="123"/>
      <c r="DW21" s="123"/>
      <c r="DX21" s="123"/>
      <c r="DY21" s="123"/>
      <c r="DZ21" s="123"/>
      <c r="EA21" s="123"/>
      <c r="EB21" s="123"/>
      <c r="EC21" s="123"/>
      <c r="ED21" s="123"/>
      <c r="EE21" s="123"/>
      <c r="EF21" s="123"/>
      <c r="EG21" s="123"/>
      <c r="EH21" s="123"/>
      <c r="EI21" s="123"/>
      <c r="EJ21" s="123"/>
      <c r="EK21" s="123"/>
      <c r="EL21" s="123"/>
      <c r="EM21" s="123"/>
      <c r="EN21" s="123"/>
      <c r="EO21" s="123"/>
      <c r="EP21" s="123"/>
      <c r="EQ21" s="123"/>
      <c r="ER21" s="123"/>
      <c r="ES21" s="123"/>
      <c r="ET21" s="123"/>
      <c r="EU21" s="123"/>
      <c r="EV21" s="123"/>
      <c r="EW21" s="123"/>
      <c r="EX21" s="123"/>
      <c r="EY21" s="123"/>
      <c r="EZ21" s="123"/>
      <c r="FA21" s="123"/>
      <c r="FB21" s="123"/>
      <c r="FC21" s="123"/>
      <c r="FD21" s="123"/>
      <c r="FE21" s="123"/>
      <c r="FF21" s="123"/>
      <c r="FG21" s="123"/>
      <c r="FH21" s="123"/>
      <c r="FI21" s="123"/>
      <c r="FJ21" s="123"/>
      <c r="FK21" s="123"/>
      <c r="FL21" s="123"/>
      <c r="FM21" s="123"/>
      <c r="FN21" s="123"/>
      <c r="FO21" s="123"/>
      <c r="FP21" s="123"/>
      <c r="FQ21" s="123"/>
    </row>
    <row r="22" spans="2:173" ht="13.7" customHeight="1" x14ac:dyDescent="0.2">
      <c r="B22" s="10" t="str">
        <f>"  9. "</f>
        <v xml:space="preserve">  9. </v>
      </c>
      <c r="C22" s="1" t="s">
        <v>60</v>
      </c>
      <c r="E22" s="39">
        <v>0</v>
      </c>
      <c r="F22" s="39">
        <v>0</v>
      </c>
      <c r="G22" s="39">
        <v>0</v>
      </c>
      <c r="H22" s="39">
        <v>9</v>
      </c>
      <c r="I22" s="39">
        <v>0</v>
      </c>
      <c r="J22" s="39">
        <v>0</v>
      </c>
      <c r="K22" s="39">
        <v>0</v>
      </c>
      <c r="L22" s="39">
        <v>0</v>
      </c>
      <c r="M22" s="39">
        <v>0</v>
      </c>
      <c r="N22" s="39">
        <v>0</v>
      </c>
      <c r="O22" s="85">
        <f t="shared" si="0"/>
        <v>9</v>
      </c>
      <c r="P22" s="40">
        <f t="shared" si="1"/>
        <v>13015.384615384615</v>
      </c>
      <c r="Q22" s="38">
        <f t="shared" si="2"/>
        <v>13290.00923076923</v>
      </c>
      <c r="R22" s="38">
        <f t="shared" si="3"/>
        <v>26305</v>
      </c>
      <c r="T22" s="122" t="str">
        <f t="shared" si="4"/>
        <v xml:space="preserve">  9. </v>
      </c>
      <c r="U22" s="146" t="str">
        <f t="shared" si="5"/>
        <v>Do ninth thing</v>
      </c>
      <c r="V22" s="147"/>
      <c r="W22" s="41"/>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3"/>
      <c r="BS22" s="123"/>
      <c r="BT22" s="123"/>
      <c r="BU22" s="123"/>
      <c r="BV22" s="123"/>
      <c r="BW22" s="123"/>
      <c r="BX22" s="123"/>
      <c r="BY22" s="123"/>
      <c r="BZ22" s="123"/>
      <c r="CA22" s="123"/>
      <c r="CB22" s="123"/>
      <c r="CC22" s="123"/>
      <c r="CD22" s="123"/>
      <c r="CE22" s="123"/>
      <c r="CF22" s="123"/>
      <c r="CG22" s="123"/>
      <c r="CH22" s="123"/>
      <c r="CI22" s="123"/>
      <c r="CJ22" s="123"/>
      <c r="CK22" s="123"/>
      <c r="CL22" s="123"/>
      <c r="CM22" s="123"/>
      <c r="CN22" s="123"/>
      <c r="CO22" s="123"/>
      <c r="CP22" s="123"/>
      <c r="CQ22" s="123"/>
      <c r="CR22" s="123"/>
      <c r="CS22" s="123"/>
      <c r="CT22" s="123"/>
      <c r="CU22" s="123"/>
      <c r="CV22" s="123"/>
      <c r="CW22" s="123"/>
      <c r="CX22" s="123"/>
      <c r="CY22" s="123"/>
      <c r="CZ22" s="123"/>
      <c r="DA22" s="123"/>
      <c r="DB22" s="123"/>
      <c r="DC22" s="123"/>
      <c r="DD22" s="123"/>
      <c r="DE22" s="123"/>
      <c r="DF22" s="123"/>
      <c r="DG22" s="123"/>
      <c r="DH22" s="123"/>
      <c r="DI22" s="123"/>
      <c r="DJ22" s="123"/>
      <c r="DK22" s="123"/>
      <c r="DL22" s="123"/>
      <c r="DM22" s="123"/>
      <c r="DN22" s="123"/>
      <c r="DO22" s="113"/>
      <c r="DP22" s="123"/>
      <c r="DQ22" s="123"/>
      <c r="DR22" s="123"/>
      <c r="DS22" s="123"/>
      <c r="DT22" s="123"/>
      <c r="DU22" s="123"/>
      <c r="DV22" s="123"/>
      <c r="DW22" s="123"/>
      <c r="DX22" s="123"/>
      <c r="DY22" s="123"/>
      <c r="DZ22" s="123"/>
      <c r="EA22" s="123"/>
      <c r="EB22" s="123"/>
      <c r="EC22" s="123"/>
      <c r="ED22" s="123"/>
      <c r="EE22" s="123"/>
      <c r="EF22" s="123"/>
      <c r="EG22" s="123"/>
      <c r="EH22" s="123"/>
      <c r="EI22" s="123"/>
      <c r="EJ22" s="123"/>
      <c r="EK22" s="123"/>
      <c r="EL22" s="123"/>
      <c r="EM22" s="123"/>
      <c r="EN22" s="123"/>
      <c r="EO22" s="123"/>
      <c r="EP22" s="123"/>
      <c r="EQ22" s="123"/>
      <c r="ER22" s="123"/>
      <c r="ES22" s="123"/>
      <c r="ET22" s="123"/>
      <c r="EU22" s="123"/>
      <c r="EV22" s="123"/>
      <c r="EW22" s="123"/>
      <c r="EX22" s="123"/>
      <c r="EY22" s="123"/>
      <c r="EZ22" s="123"/>
      <c r="FA22" s="123"/>
      <c r="FB22" s="123"/>
      <c r="FC22" s="123"/>
      <c r="FD22" s="123"/>
      <c r="FE22" s="123"/>
      <c r="FF22" s="123"/>
      <c r="FG22" s="123"/>
      <c r="FH22" s="123"/>
      <c r="FI22" s="123"/>
      <c r="FJ22" s="123"/>
      <c r="FK22" s="123"/>
      <c r="FL22" s="123"/>
      <c r="FM22" s="123"/>
      <c r="FN22" s="123"/>
      <c r="FO22" s="123"/>
      <c r="FP22" s="123"/>
      <c r="FQ22" s="123"/>
    </row>
    <row r="23" spans="2:173" ht="13.7" customHeight="1" x14ac:dyDescent="0.2">
      <c r="B23" s="10" t="str">
        <f>"10. "</f>
        <v xml:space="preserve">10. </v>
      </c>
      <c r="C23" s="1" t="s">
        <v>61</v>
      </c>
      <c r="E23" s="39">
        <v>0</v>
      </c>
      <c r="F23" s="39">
        <v>0</v>
      </c>
      <c r="G23" s="39">
        <v>10</v>
      </c>
      <c r="H23" s="39">
        <v>0</v>
      </c>
      <c r="I23" s="39">
        <v>0</v>
      </c>
      <c r="J23" s="39">
        <v>0</v>
      </c>
      <c r="K23" s="39">
        <v>0</v>
      </c>
      <c r="L23" s="39">
        <v>0</v>
      </c>
      <c r="M23" s="39">
        <v>0</v>
      </c>
      <c r="N23" s="39">
        <v>0</v>
      </c>
      <c r="O23" s="85">
        <f t="shared" si="0"/>
        <v>10</v>
      </c>
      <c r="P23" s="40">
        <f t="shared" ref="P23" si="6">O80</f>
        <v>19865.384615384617</v>
      </c>
      <c r="Q23" s="38">
        <f t="shared" si="2"/>
        <v>20284.544230769232</v>
      </c>
      <c r="R23" s="38">
        <f t="shared" si="3"/>
        <v>40150</v>
      </c>
      <c r="T23" s="122" t="str">
        <f t="shared" si="4"/>
        <v xml:space="preserve">10. </v>
      </c>
      <c r="U23" s="146" t="str">
        <f t="shared" si="5"/>
        <v>Do tenth thing</v>
      </c>
      <c r="V23" s="147"/>
      <c r="W23" s="41"/>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3"/>
      <c r="BS23" s="123"/>
      <c r="BT23" s="123"/>
      <c r="BU23" s="123"/>
      <c r="BV23" s="123"/>
      <c r="BW23" s="123"/>
      <c r="BX23" s="123"/>
      <c r="BY23" s="123"/>
      <c r="BZ23" s="123"/>
      <c r="CA23" s="123"/>
      <c r="CB23" s="123"/>
      <c r="CC23" s="123"/>
      <c r="CD23" s="123"/>
      <c r="CE23" s="123"/>
      <c r="CF23" s="123"/>
      <c r="CG23" s="123"/>
      <c r="CH23" s="123"/>
      <c r="CI23" s="123"/>
      <c r="CJ23" s="123"/>
      <c r="CK23" s="123"/>
      <c r="CL23" s="123"/>
      <c r="CM23" s="123"/>
      <c r="CN23" s="123"/>
      <c r="CO23" s="123"/>
      <c r="CP23" s="123"/>
      <c r="CQ23" s="123"/>
      <c r="CR23" s="123"/>
      <c r="CS23" s="123"/>
      <c r="CT23" s="123"/>
      <c r="CU23" s="123"/>
      <c r="CV23" s="123"/>
      <c r="CW23" s="123"/>
      <c r="CX23" s="123"/>
      <c r="CY23" s="123"/>
      <c r="CZ23" s="123"/>
      <c r="DA23" s="123"/>
      <c r="DB23" s="123"/>
      <c r="DC23" s="123"/>
      <c r="DD23" s="123"/>
      <c r="DE23" s="123"/>
      <c r="DF23" s="123"/>
      <c r="DG23" s="123"/>
      <c r="DH23" s="123"/>
      <c r="DI23" s="123"/>
      <c r="DJ23" s="123"/>
      <c r="DK23" s="123"/>
      <c r="DL23" s="123"/>
      <c r="DM23" s="123"/>
      <c r="DN23" s="123"/>
      <c r="DO23" s="113"/>
      <c r="DP23" s="123"/>
      <c r="DQ23" s="123"/>
      <c r="DR23" s="123"/>
      <c r="DS23" s="123"/>
      <c r="DT23" s="123"/>
      <c r="DU23" s="123"/>
      <c r="DV23" s="123"/>
      <c r="DW23" s="123"/>
      <c r="DX23" s="123"/>
      <c r="DY23" s="123"/>
      <c r="DZ23" s="123"/>
      <c r="EA23" s="123"/>
      <c r="EB23" s="123"/>
      <c r="EC23" s="123"/>
      <c r="ED23" s="123"/>
      <c r="EE23" s="123"/>
      <c r="EF23" s="123"/>
      <c r="EG23" s="123"/>
      <c r="EH23" s="123"/>
      <c r="EI23" s="123"/>
      <c r="EJ23" s="123"/>
      <c r="EK23" s="123"/>
      <c r="EL23" s="123"/>
      <c r="EM23" s="123"/>
      <c r="EN23" s="123"/>
      <c r="EO23" s="123"/>
      <c r="EP23" s="123"/>
      <c r="EQ23" s="123"/>
      <c r="ER23" s="123"/>
      <c r="ES23" s="123"/>
      <c r="ET23" s="123"/>
      <c r="EU23" s="123"/>
      <c r="EV23" s="123"/>
      <c r="EW23" s="123"/>
      <c r="EX23" s="123"/>
      <c r="EY23" s="123"/>
      <c r="EZ23" s="123"/>
      <c r="FA23" s="123"/>
      <c r="FB23" s="123"/>
      <c r="FC23" s="123"/>
      <c r="FD23" s="123"/>
      <c r="FE23" s="123"/>
      <c r="FF23" s="123"/>
      <c r="FG23" s="123"/>
      <c r="FH23" s="123"/>
      <c r="FI23" s="123"/>
      <c r="FJ23" s="123"/>
      <c r="FK23" s="123"/>
      <c r="FL23" s="123"/>
      <c r="FM23" s="123"/>
      <c r="FN23" s="123"/>
      <c r="FO23" s="123"/>
      <c r="FP23" s="123"/>
      <c r="FQ23" s="123"/>
    </row>
    <row r="24" spans="2:173" ht="15" customHeight="1" x14ac:dyDescent="0.2">
      <c r="B24" s="91" t="s">
        <v>52</v>
      </c>
      <c r="C24" s="97"/>
      <c r="D24" s="97"/>
      <c r="E24" s="98"/>
      <c r="F24" s="98"/>
      <c r="G24" s="98"/>
      <c r="H24" s="98"/>
      <c r="I24" s="98"/>
      <c r="J24" s="98"/>
      <c r="K24" s="98"/>
      <c r="L24" s="98"/>
      <c r="M24" s="98"/>
      <c r="N24" s="99"/>
      <c r="O24" s="100"/>
      <c r="P24" s="101"/>
      <c r="Q24" s="102"/>
      <c r="R24" s="102"/>
      <c r="S24" s="103"/>
      <c r="T24" s="128"/>
      <c r="U24" s="144"/>
      <c r="V24" s="144"/>
      <c r="W24" s="130"/>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0"/>
      <c r="BU24" s="130"/>
      <c r="BV24" s="130"/>
      <c r="BW24" s="130"/>
      <c r="BX24" s="130"/>
      <c r="BY24" s="130"/>
      <c r="BZ24" s="130"/>
      <c r="CA24" s="130"/>
      <c r="CB24" s="130"/>
      <c r="CC24" s="130"/>
      <c r="CD24" s="130"/>
      <c r="CE24" s="130"/>
      <c r="CF24" s="130"/>
      <c r="CG24" s="130"/>
      <c r="CH24" s="130"/>
      <c r="CI24" s="130"/>
      <c r="CJ24" s="130"/>
      <c r="CK24" s="130"/>
      <c r="CL24" s="130"/>
      <c r="CM24" s="130"/>
      <c r="CN24" s="130"/>
      <c r="CO24" s="130"/>
      <c r="CP24" s="130"/>
      <c r="CQ24" s="130"/>
      <c r="CR24" s="130"/>
      <c r="CS24" s="130"/>
      <c r="CT24" s="130"/>
      <c r="CU24" s="130"/>
      <c r="CV24" s="130"/>
      <c r="CW24" s="130"/>
      <c r="CX24" s="130"/>
      <c r="CY24" s="130"/>
      <c r="CZ24" s="130"/>
      <c r="DA24" s="130"/>
      <c r="DB24" s="130"/>
      <c r="DC24" s="130"/>
      <c r="DD24" s="130"/>
      <c r="DE24" s="130"/>
      <c r="DF24" s="130"/>
      <c r="DG24" s="130"/>
      <c r="DH24" s="130"/>
      <c r="DI24" s="130"/>
      <c r="DJ24" s="130"/>
      <c r="DK24" s="130"/>
      <c r="DL24" s="130"/>
      <c r="DM24" s="130"/>
      <c r="DN24" s="130"/>
      <c r="DO24" s="115"/>
      <c r="DP24" s="123"/>
      <c r="DQ24" s="123"/>
      <c r="DR24" s="123"/>
      <c r="DS24" s="123"/>
      <c r="DT24" s="123"/>
      <c r="DU24" s="123"/>
      <c r="DV24" s="123"/>
      <c r="DW24" s="123"/>
      <c r="DX24" s="123"/>
      <c r="DY24" s="123"/>
      <c r="DZ24" s="123"/>
      <c r="EA24" s="123"/>
      <c r="EB24" s="123"/>
      <c r="EC24" s="123"/>
      <c r="ED24" s="123"/>
      <c r="EE24" s="123"/>
      <c r="EF24" s="123"/>
      <c r="EG24" s="123"/>
      <c r="EH24" s="123"/>
      <c r="EI24" s="123"/>
      <c r="EJ24" s="123"/>
      <c r="EK24" s="123"/>
      <c r="EL24" s="123"/>
      <c r="EM24" s="123"/>
      <c r="EN24" s="123"/>
      <c r="EO24" s="123"/>
      <c r="EP24" s="123"/>
      <c r="EQ24" s="123"/>
      <c r="ER24" s="123"/>
      <c r="ES24" s="123"/>
      <c r="ET24" s="123"/>
      <c r="EU24" s="123"/>
      <c r="EV24" s="123"/>
      <c r="EW24" s="123"/>
      <c r="EX24" s="123"/>
      <c r="EY24" s="123"/>
      <c r="EZ24" s="123"/>
      <c r="FA24" s="123"/>
      <c r="FB24" s="123"/>
      <c r="FC24" s="123"/>
      <c r="FD24" s="123"/>
      <c r="FE24" s="123"/>
      <c r="FF24" s="123"/>
      <c r="FG24" s="123"/>
      <c r="FH24" s="123"/>
      <c r="FI24" s="123"/>
      <c r="FJ24" s="123"/>
      <c r="FK24" s="123"/>
      <c r="FL24" s="123"/>
      <c r="FM24" s="123"/>
      <c r="FN24" s="123"/>
      <c r="FO24" s="123"/>
      <c r="FP24" s="123"/>
      <c r="FQ24" s="123"/>
    </row>
    <row r="25" spans="2:173" x14ac:dyDescent="0.2">
      <c r="B25" s="14"/>
      <c r="C25" s="16" t="s">
        <v>26</v>
      </c>
      <c r="D25" s="16"/>
      <c r="E25" s="44">
        <f t="shared" ref="E25:N25" si="7">SUM(E13:E24)</f>
        <v>0</v>
      </c>
      <c r="F25" s="44">
        <f t="shared" si="7"/>
        <v>1</v>
      </c>
      <c r="G25" s="44">
        <f t="shared" si="7"/>
        <v>12</v>
      </c>
      <c r="H25" s="44">
        <f t="shared" si="7"/>
        <v>12</v>
      </c>
      <c r="I25" s="44">
        <f t="shared" si="7"/>
        <v>12</v>
      </c>
      <c r="J25" s="44">
        <f t="shared" si="7"/>
        <v>0</v>
      </c>
      <c r="K25" s="44">
        <f t="shared" si="7"/>
        <v>12</v>
      </c>
      <c r="L25" s="44">
        <f t="shared" si="7"/>
        <v>0</v>
      </c>
      <c r="M25" s="44">
        <f t="shared" si="7"/>
        <v>0</v>
      </c>
      <c r="N25" s="45">
        <f t="shared" si="7"/>
        <v>6</v>
      </c>
      <c r="O25" s="86">
        <f>SUM(O14:O23)</f>
        <v>55</v>
      </c>
      <c r="P25" s="46">
        <f>SUM(P14:P23)</f>
        <v>72763.461538461532</v>
      </c>
      <c r="Q25" s="47">
        <f>ROUND(SUM(Q14:Q23),0)</f>
        <v>74299</v>
      </c>
      <c r="R25" s="38">
        <f>SUM(R14:R23)</f>
        <v>147061</v>
      </c>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15"/>
      <c r="DP25" s="123"/>
      <c r="DQ25" s="123"/>
      <c r="DR25" s="123"/>
      <c r="DS25" s="123"/>
      <c r="DT25" s="123"/>
      <c r="DU25" s="123"/>
      <c r="DV25" s="123"/>
      <c r="DW25" s="123"/>
      <c r="DX25" s="123"/>
      <c r="DY25" s="123"/>
      <c r="DZ25" s="123"/>
      <c r="EA25" s="123"/>
      <c r="EB25" s="123"/>
      <c r="EC25" s="123"/>
      <c r="ED25" s="123"/>
      <c r="EE25" s="123"/>
      <c r="EF25" s="123"/>
      <c r="EG25" s="123"/>
      <c r="EH25" s="123"/>
      <c r="EI25" s="123"/>
      <c r="EJ25" s="123"/>
      <c r="EK25" s="123"/>
      <c r="EL25" s="123"/>
      <c r="EM25" s="123"/>
      <c r="EN25" s="123"/>
      <c r="EO25" s="123"/>
      <c r="EP25" s="123"/>
      <c r="EQ25" s="123"/>
      <c r="ER25" s="123"/>
      <c r="ES25" s="123"/>
      <c r="ET25" s="123"/>
      <c r="EU25" s="123"/>
      <c r="EV25" s="123"/>
      <c r="EW25" s="123"/>
      <c r="EX25" s="123"/>
      <c r="EY25" s="123"/>
      <c r="EZ25" s="123"/>
      <c r="FA25" s="123"/>
      <c r="FB25" s="123"/>
      <c r="FC25" s="123"/>
      <c r="FD25" s="123"/>
      <c r="FE25" s="123"/>
      <c r="FF25" s="123"/>
      <c r="FG25" s="123"/>
      <c r="FH25" s="123"/>
      <c r="FI25" s="123"/>
      <c r="FJ25" s="123"/>
      <c r="FK25" s="123"/>
      <c r="FL25" s="123"/>
      <c r="FM25" s="123"/>
      <c r="FN25" s="123"/>
      <c r="FO25" s="123"/>
      <c r="FP25" s="123"/>
      <c r="FQ25" s="123"/>
    </row>
    <row r="26" spans="2:173" ht="16.7" customHeight="1" x14ac:dyDescent="0.2">
      <c r="B26" s="14"/>
      <c r="C26" s="16"/>
      <c r="D26" s="16"/>
      <c r="E26" s="17"/>
      <c r="F26" s="17"/>
      <c r="G26" s="17"/>
      <c r="H26" s="17"/>
      <c r="I26" s="17"/>
      <c r="J26" s="17"/>
      <c r="K26" s="17"/>
      <c r="L26" s="17"/>
      <c r="M26" s="17"/>
      <c r="N26" s="17"/>
      <c r="O26" s="48"/>
      <c r="P26" s="48"/>
      <c r="Q26" s="47"/>
      <c r="R26" s="38"/>
      <c r="T26" s="1" t="s">
        <v>27</v>
      </c>
      <c r="DO26" s="113"/>
      <c r="DP26" s="123"/>
      <c r="DQ26" s="123"/>
      <c r="DR26" s="123"/>
      <c r="DS26" s="123"/>
      <c r="DT26" s="123"/>
      <c r="DU26" s="123"/>
      <c r="DV26" s="123"/>
      <c r="DW26" s="123"/>
      <c r="DX26" s="123"/>
      <c r="DY26" s="123"/>
      <c r="DZ26" s="123"/>
      <c r="EA26" s="123"/>
      <c r="EB26" s="123"/>
      <c r="EC26" s="123"/>
      <c r="ED26" s="123"/>
      <c r="EE26" s="123"/>
      <c r="EF26" s="123"/>
      <c r="EG26" s="123"/>
      <c r="EH26" s="123"/>
      <c r="EI26" s="123"/>
      <c r="EJ26" s="123"/>
      <c r="EK26" s="123"/>
      <c r="EL26" s="123"/>
      <c r="EM26" s="123"/>
      <c r="EN26" s="123"/>
      <c r="EO26" s="123"/>
      <c r="EP26" s="123"/>
      <c r="EQ26" s="123"/>
      <c r="ER26" s="123"/>
      <c r="ES26" s="123"/>
      <c r="ET26" s="123"/>
      <c r="EU26" s="123"/>
      <c r="EV26" s="123"/>
      <c r="EW26" s="123"/>
      <c r="EX26" s="123"/>
      <c r="EY26" s="123"/>
      <c r="EZ26" s="123"/>
      <c r="FA26" s="123"/>
      <c r="FB26" s="123"/>
      <c r="FC26" s="123"/>
      <c r="FD26" s="123"/>
      <c r="FE26" s="123"/>
      <c r="FF26" s="123"/>
      <c r="FG26" s="123"/>
      <c r="FH26" s="123"/>
      <c r="FI26" s="123"/>
      <c r="FJ26" s="123"/>
      <c r="FK26" s="123"/>
      <c r="FL26" s="123"/>
      <c r="FM26" s="123"/>
      <c r="FN26" s="123"/>
      <c r="FO26" s="123"/>
      <c r="FP26" s="123"/>
      <c r="FQ26" s="123"/>
    </row>
    <row r="27" spans="2:173" ht="15" customHeight="1" x14ac:dyDescent="0.2">
      <c r="B27" s="20" t="s">
        <v>28</v>
      </c>
      <c r="C27" s="21"/>
      <c r="D27" s="22"/>
      <c r="E27" s="22"/>
      <c r="F27" s="23"/>
      <c r="G27" s="23"/>
      <c r="H27" s="23"/>
      <c r="I27" s="23"/>
      <c r="J27" s="23"/>
      <c r="K27" s="23"/>
      <c r="L27" s="23"/>
      <c r="M27" s="23"/>
      <c r="N27" s="23"/>
      <c r="O27" s="23"/>
      <c r="P27" s="49"/>
      <c r="Q27" s="49"/>
      <c r="R27" s="50"/>
      <c r="S27" s="24">
        <f>SUM(R29:R34)</f>
        <v>2100</v>
      </c>
      <c r="U27" s="1" t="s">
        <v>63</v>
      </c>
      <c r="V27" s="1" t="s">
        <v>67</v>
      </c>
      <c r="DO27" s="113"/>
      <c r="DP27" s="123"/>
      <c r="DQ27" s="123"/>
      <c r="DR27" s="123"/>
      <c r="DS27" s="123"/>
      <c r="DT27" s="123"/>
      <c r="DU27" s="123"/>
      <c r="DV27" s="123"/>
      <c r="DW27" s="123"/>
      <c r="DX27" s="123"/>
      <c r="DY27" s="123"/>
      <c r="DZ27" s="123"/>
      <c r="EA27" s="123"/>
      <c r="EB27" s="123"/>
      <c r="EC27" s="123"/>
      <c r="ED27" s="123"/>
      <c r="EE27" s="123"/>
      <c r="EF27" s="123"/>
      <c r="EG27" s="123"/>
      <c r="EH27" s="123"/>
      <c r="EI27" s="123"/>
      <c r="EJ27" s="123"/>
      <c r="EK27" s="123"/>
      <c r="EL27" s="123"/>
      <c r="EM27" s="123"/>
      <c r="EN27" s="123"/>
      <c r="EO27" s="123"/>
      <c r="EP27" s="123"/>
      <c r="EQ27" s="123"/>
      <c r="ER27" s="123"/>
      <c r="ES27" s="123"/>
      <c r="ET27" s="123"/>
      <c r="EU27" s="123"/>
      <c r="EV27" s="123"/>
      <c r="EW27" s="123"/>
      <c r="EX27" s="123"/>
      <c r="EY27" s="123"/>
      <c r="EZ27" s="123"/>
      <c r="FA27" s="123"/>
      <c r="FB27" s="123"/>
      <c r="FC27" s="123"/>
      <c r="FD27" s="123"/>
      <c r="FE27" s="123"/>
      <c r="FF27" s="123"/>
      <c r="FG27" s="123"/>
      <c r="FH27" s="123"/>
      <c r="FI27" s="123"/>
      <c r="FJ27" s="123"/>
      <c r="FK27" s="123"/>
      <c r="FL27" s="123"/>
      <c r="FM27" s="123"/>
      <c r="FN27" s="123"/>
      <c r="FO27" s="123"/>
      <c r="FP27" s="123"/>
      <c r="FQ27" s="123"/>
    </row>
    <row r="28" spans="2:173" ht="15" customHeight="1" x14ac:dyDescent="0.2">
      <c r="B28" s="13"/>
      <c r="O28" s="12"/>
      <c r="P28" s="51"/>
      <c r="Q28" s="51"/>
      <c r="R28" s="38"/>
      <c r="S28" s="38"/>
      <c r="U28" s="1" t="s">
        <v>64</v>
      </c>
      <c r="V28" s="1" t="s">
        <v>68</v>
      </c>
      <c r="DO28" s="113"/>
      <c r="DP28" s="123"/>
      <c r="DQ28" s="123"/>
      <c r="DR28" s="123"/>
      <c r="DS28" s="123"/>
      <c r="DT28" s="123"/>
      <c r="DU28" s="123"/>
      <c r="DV28" s="123"/>
      <c r="DW28" s="123"/>
      <c r="DX28" s="123"/>
      <c r="DY28" s="123"/>
      <c r="DZ28" s="123"/>
      <c r="EA28" s="123"/>
      <c r="EB28" s="123"/>
      <c r="EC28" s="123"/>
      <c r="ED28" s="123"/>
      <c r="EE28" s="123"/>
      <c r="EF28" s="123"/>
      <c r="EG28" s="123"/>
      <c r="EH28" s="123"/>
      <c r="EI28" s="123"/>
      <c r="EJ28" s="123"/>
      <c r="EK28" s="123"/>
      <c r="EL28" s="123"/>
      <c r="EM28" s="123"/>
      <c r="EN28" s="123"/>
      <c r="EO28" s="123"/>
      <c r="EP28" s="123"/>
      <c r="EQ28" s="123"/>
      <c r="ER28" s="123"/>
      <c r="ES28" s="123"/>
      <c r="ET28" s="123"/>
      <c r="EU28" s="123"/>
      <c r="EV28" s="123"/>
      <c r="EW28" s="123"/>
      <c r="EX28" s="123"/>
      <c r="EY28" s="123"/>
      <c r="EZ28" s="123"/>
      <c r="FA28" s="123"/>
      <c r="FB28" s="123"/>
      <c r="FC28" s="123"/>
      <c r="FD28" s="123"/>
      <c r="FE28" s="123"/>
      <c r="FF28" s="123"/>
      <c r="FG28" s="123"/>
      <c r="FH28" s="123"/>
      <c r="FI28" s="123"/>
      <c r="FJ28" s="123"/>
      <c r="FK28" s="123"/>
      <c r="FL28" s="123"/>
      <c r="FM28" s="123"/>
      <c r="FN28" s="123"/>
      <c r="FO28" s="123"/>
      <c r="FP28" s="123"/>
      <c r="FQ28" s="123"/>
    </row>
    <row r="29" spans="2:173" ht="15" customHeight="1" x14ac:dyDescent="0.2">
      <c r="C29" s="10" t="s">
        <v>0</v>
      </c>
      <c r="O29" s="12"/>
      <c r="Q29" s="51"/>
      <c r="R29" s="38">
        <v>100</v>
      </c>
      <c r="S29" s="38"/>
      <c r="U29" s="1" t="s">
        <v>65</v>
      </c>
      <c r="V29" s="1" t="s">
        <v>66</v>
      </c>
      <c r="DO29" s="113"/>
      <c r="DP29" s="123"/>
      <c r="DQ29" s="123"/>
      <c r="DR29" s="123"/>
      <c r="DS29" s="123"/>
      <c r="DT29" s="123"/>
      <c r="DU29" s="123"/>
      <c r="DV29" s="123"/>
      <c r="DW29" s="123"/>
      <c r="DX29" s="123"/>
      <c r="DY29" s="123"/>
      <c r="DZ29" s="123"/>
      <c r="EA29" s="123"/>
      <c r="EB29" s="123"/>
      <c r="EC29" s="123"/>
      <c r="ED29" s="123"/>
      <c r="EE29" s="123"/>
      <c r="EF29" s="123"/>
      <c r="EG29" s="123"/>
      <c r="EH29" s="123"/>
      <c r="EI29" s="123"/>
      <c r="EJ29" s="123"/>
      <c r="EK29" s="123"/>
      <c r="EL29" s="123"/>
      <c r="EM29" s="123"/>
      <c r="EN29" s="123"/>
      <c r="EO29" s="123"/>
      <c r="EP29" s="123"/>
      <c r="EQ29" s="123"/>
      <c r="ER29" s="123"/>
      <c r="ES29" s="123"/>
      <c r="ET29" s="123"/>
      <c r="EU29" s="123"/>
      <c r="EV29" s="123"/>
      <c r="EW29" s="123"/>
      <c r="EX29" s="123"/>
      <c r="EY29" s="123"/>
      <c r="EZ29" s="123"/>
      <c r="FA29" s="123"/>
      <c r="FB29" s="123"/>
      <c r="FC29" s="123"/>
      <c r="FD29" s="123"/>
      <c r="FE29" s="123"/>
      <c r="FF29" s="123"/>
      <c r="FG29" s="123"/>
      <c r="FH29" s="123"/>
      <c r="FI29" s="123"/>
      <c r="FJ29" s="123"/>
      <c r="FK29" s="123"/>
      <c r="FL29" s="123"/>
      <c r="FM29" s="123"/>
      <c r="FN29" s="123"/>
      <c r="FO29" s="123"/>
      <c r="FP29" s="123"/>
      <c r="FQ29" s="123"/>
    </row>
    <row r="30" spans="2:173" ht="16.5" customHeight="1" x14ac:dyDescent="0.2">
      <c r="C30" s="10" t="s">
        <v>41</v>
      </c>
      <c r="O30" s="12"/>
      <c r="Q30" s="51"/>
      <c r="R30" s="38">
        <v>200</v>
      </c>
      <c r="S30" s="38"/>
      <c r="DO30" s="113"/>
      <c r="FL30" s="119"/>
      <c r="FM30" s="119"/>
    </row>
    <row r="31" spans="2:173" ht="16.5" customHeight="1" x14ac:dyDescent="0.2">
      <c r="C31" s="10" t="s">
        <v>42</v>
      </c>
      <c r="O31" s="12"/>
      <c r="Q31" s="51"/>
      <c r="R31" s="38">
        <v>300</v>
      </c>
      <c r="S31" s="38"/>
      <c r="DO31" s="113"/>
    </row>
    <row r="32" spans="2:173" ht="16.5" customHeight="1" x14ac:dyDescent="0.2">
      <c r="C32" s="1" t="s">
        <v>1</v>
      </c>
      <c r="F32" s="1"/>
      <c r="G32" s="1"/>
      <c r="H32" s="1"/>
      <c r="I32" s="1"/>
      <c r="J32" s="1"/>
      <c r="K32" s="1"/>
      <c r="L32" s="1"/>
      <c r="M32" s="1"/>
      <c r="N32" s="1"/>
      <c r="Q32" s="51"/>
      <c r="R32" s="38">
        <v>400</v>
      </c>
      <c r="S32" s="38"/>
      <c r="DO32" s="113"/>
    </row>
    <row r="33" spans="2:19" ht="16.5" customHeight="1" x14ac:dyDescent="0.2">
      <c r="C33" s="1" t="s">
        <v>74</v>
      </c>
      <c r="F33" s="1"/>
      <c r="G33" s="1"/>
      <c r="H33" s="1"/>
      <c r="I33" s="1"/>
      <c r="J33" s="1"/>
      <c r="K33" s="1"/>
      <c r="L33" s="1"/>
      <c r="M33" s="1"/>
      <c r="N33" s="1"/>
      <c r="Q33" s="51"/>
      <c r="R33" s="38">
        <v>500</v>
      </c>
      <c r="S33" s="38"/>
    </row>
    <row r="34" spans="2:19" ht="16.5" customHeight="1" x14ac:dyDescent="0.2">
      <c r="C34" s="10" t="s">
        <v>29</v>
      </c>
      <c r="O34" s="12"/>
      <c r="Q34" s="51"/>
      <c r="R34" s="38">
        <v>600</v>
      </c>
      <c r="S34" s="38"/>
    </row>
    <row r="35" spans="2:19" ht="16.7" customHeight="1" x14ac:dyDescent="0.2">
      <c r="O35" s="12"/>
      <c r="P35" s="51"/>
      <c r="Q35" s="51"/>
      <c r="R35" s="52"/>
      <c r="S35" s="38"/>
    </row>
    <row r="36" spans="2:19" ht="15" customHeight="1" x14ac:dyDescent="0.2">
      <c r="B36" s="20" t="s">
        <v>30</v>
      </c>
      <c r="C36" s="53"/>
      <c r="D36" s="22"/>
      <c r="E36" s="22"/>
      <c r="F36" s="23"/>
      <c r="G36" s="23"/>
      <c r="H36" s="23"/>
      <c r="I36" s="23"/>
      <c r="J36" s="23"/>
      <c r="K36" s="23"/>
      <c r="L36" s="23"/>
      <c r="M36" s="23"/>
      <c r="N36" s="23"/>
      <c r="O36" s="23"/>
      <c r="P36" s="49"/>
      <c r="Q36" s="49"/>
      <c r="R36" s="54"/>
      <c r="S36" s="24">
        <f>SUM(S9+S27)</f>
        <v>149161</v>
      </c>
    </row>
    <row r="37" spans="2:19" ht="15.95" customHeight="1" x14ac:dyDescent="0.2">
      <c r="B37" s="55"/>
      <c r="C37" s="56"/>
      <c r="D37" s="16"/>
      <c r="E37" s="16"/>
      <c r="F37" s="17"/>
      <c r="G37" s="17"/>
      <c r="H37" s="17"/>
      <c r="I37" s="17"/>
      <c r="J37" s="17"/>
      <c r="K37" s="17"/>
      <c r="L37" s="17"/>
      <c r="M37" s="17"/>
      <c r="N37" s="17"/>
      <c r="O37" s="48"/>
      <c r="P37" s="48"/>
      <c r="Q37" s="57"/>
      <c r="R37" s="58"/>
    </row>
    <row r="38" spans="2:19" ht="15" customHeight="1" x14ac:dyDescent="0.2">
      <c r="B38" s="59" t="s">
        <v>49</v>
      </c>
      <c r="C38" s="56"/>
      <c r="D38" s="16"/>
      <c r="E38" s="16"/>
      <c r="F38" s="17"/>
      <c r="G38" s="17"/>
      <c r="H38" s="17"/>
      <c r="I38" s="17"/>
      <c r="J38" s="17"/>
      <c r="K38" s="17"/>
      <c r="L38" s="17"/>
      <c r="M38" s="17"/>
      <c r="N38" s="17"/>
      <c r="O38" s="48"/>
      <c r="P38" s="48"/>
      <c r="Q38" s="57"/>
      <c r="R38" s="58"/>
    </row>
    <row r="39" spans="2:19" ht="15" customHeight="1" x14ac:dyDescent="0.2">
      <c r="B39" s="103" t="s">
        <v>51</v>
      </c>
      <c r="C39" s="104"/>
      <c r="D39" s="96"/>
      <c r="E39" s="96"/>
      <c r="F39" s="105"/>
      <c r="G39" s="105"/>
      <c r="H39" s="105"/>
      <c r="I39" s="105"/>
      <c r="J39" s="105"/>
      <c r="K39" s="105"/>
      <c r="L39" s="105"/>
      <c r="M39" s="105"/>
      <c r="N39" s="105"/>
      <c r="O39" s="106"/>
      <c r="P39" s="106"/>
      <c r="Q39" s="107"/>
      <c r="R39" s="108"/>
      <c r="S39" s="92"/>
    </row>
    <row r="40" spans="2:19" x14ac:dyDescent="0.2">
      <c r="B40" s="16"/>
      <c r="C40" s="60" t="s">
        <v>48</v>
      </c>
      <c r="D40" s="16"/>
      <c r="E40" s="16"/>
      <c r="F40" s="17"/>
      <c r="G40" s="17"/>
      <c r="H40" s="17"/>
      <c r="I40" s="17"/>
      <c r="J40" s="17"/>
      <c r="K40" s="17"/>
      <c r="L40" s="17"/>
      <c r="M40" s="17"/>
      <c r="N40" s="17"/>
      <c r="O40" s="61"/>
      <c r="P40" s="61"/>
      <c r="Q40" s="62"/>
      <c r="R40" s="62"/>
    </row>
    <row r="41" spans="2:19" x14ac:dyDescent="0.2">
      <c r="B41" s="16"/>
      <c r="C41" s="90" t="s">
        <v>50</v>
      </c>
      <c r="D41" s="16"/>
      <c r="E41" s="16"/>
      <c r="F41" s="17"/>
      <c r="G41" s="17"/>
      <c r="H41" s="17"/>
      <c r="I41" s="17"/>
      <c r="J41" s="17"/>
      <c r="K41" s="17"/>
      <c r="L41" s="17"/>
      <c r="M41" s="17"/>
      <c r="N41" s="17"/>
      <c r="O41" s="61"/>
      <c r="P41" s="61"/>
      <c r="Q41" s="62"/>
      <c r="R41" s="62"/>
    </row>
    <row r="42" spans="2:19" x14ac:dyDescent="0.2">
      <c r="B42" s="103" t="s">
        <v>51</v>
      </c>
      <c r="C42" s="109"/>
      <c r="D42" s="96"/>
      <c r="E42" s="96"/>
      <c r="F42" s="105"/>
      <c r="G42" s="105"/>
      <c r="H42" s="105"/>
      <c r="I42" s="105"/>
      <c r="J42" s="105"/>
      <c r="K42" s="105"/>
      <c r="L42" s="105"/>
      <c r="M42" s="105"/>
      <c r="N42" s="105"/>
      <c r="O42" s="110"/>
      <c r="P42" s="110"/>
      <c r="Q42" s="111"/>
      <c r="R42" s="111"/>
      <c r="S42" s="92"/>
    </row>
    <row r="43" spans="2:19" x14ac:dyDescent="0.2">
      <c r="B43" s="55" t="s">
        <v>31</v>
      </c>
      <c r="C43" s="14"/>
      <c r="D43" s="16"/>
      <c r="E43" s="16"/>
      <c r="F43" s="17"/>
      <c r="G43" s="17"/>
      <c r="H43" s="17"/>
      <c r="I43" s="17"/>
      <c r="J43" s="17"/>
      <c r="K43" s="17"/>
      <c r="L43" s="17"/>
      <c r="M43" s="17"/>
      <c r="N43" s="17"/>
      <c r="O43" s="61"/>
      <c r="P43" s="61"/>
      <c r="Q43" s="62"/>
      <c r="R43" s="62"/>
    </row>
    <row r="44" spans="2:19" x14ac:dyDescent="0.2">
      <c r="B44" s="59"/>
      <c r="C44" s="14"/>
      <c r="D44" s="16"/>
      <c r="E44" s="16"/>
      <c r="F44" s="17"/>
      <c r="G44" s="17"/>
      <c r="H44" s="17"/>
      <c r="I44" s="17"/>
      <c r="J44" s="17"/>
      <c r="K44" s="17"/>
      <c r="L44" s="17"/>
      <c r="M44" s="17"/>
      <c r="N44" s="17"/>
      <c r="O44" s="61"/>
      <c r="P44" s="61"/>
      <c r="Q44" s="62"/>
      <c r="R44" s="62"/>
    </row>
    <row r="45" spans="2:19" x14ac:dyDescent="0.2">
      <c r="B45" s="55" t="s">
        <v>32</v>
      </c>
      <c r="C45" s="14"/>
      <c r="D45" s="16"/>
      <c r="E45" s="16"/>
      <c r="F45" s="17"/>
      <c r="G45" s="17"/>
      <c r="H45" s="17"/>
      <c r="I45" s="17"/>
      <c r="J45" s="17"/>
      <c r="K45" s="17"/>
      <c r="L45" s="17"/>
      <c r="M45" s="17"/>
      <c r="N45" s="17"/>
      <c r="O45" s="61"/>
      <c r="P45" s="61"/>
      <c r="Q45" s="62"/>
      <c r="R45" s="62"/>
    </row>
    <row r="46" spans="2:19" x14ac:dyDescent="0.2">
      <c r="C46" s="16" t="s">
        <v>33</v>
      </c>
      <c r="D46" s="16"/>
      <c r="E46" s="16"/>
      <c r="F46" s="17"/>
      <c r="G46" s="17"/>
      <c r="H46" s="17"/>
      <c r="I46" s="17"/>
      <c r="J46" s="17"/>
      <c r="K46" s="17"/>
      <c r="L46" s="17"/>
      <c r="M46" s="17"/>
      <c r="N46" s="17"/>
      <c r="O46" s="61"/>
      <c r="P46" s="61"/>
      <c r="Q46" s="62"/>
      <c r="R46" s="62"/>
    </row>
    <row r="47" spans="2:19" x14ac:dyDescent="0.2">
      <c r="C47" s="16" t="s">
        <v>34</v>
      </c>
      <c r="D47" s="16"/>
      <c r="E47" s="16"/>
      <c r="F47" s="17"/>
      <c r="G47" s="17"/>
      <c r="H47" s="17"/>
      <c r="I47" s="17"/>
      <c r="J47" s="17"/>
      <c r="K47" s="17"/>
      <c r="L47" s="17"/>
      <c r="M47" s="17"/>
      <c r="N47" s="17"/>
      <c r="O47" s="61"/>
      <c r="P47" s="61"/>
      <c r="Q47" s="62"/>
      <c r="R47" s="62"/>
    </row>
    <row r="48" spans="2:19" x14ac:dyDescent="0.2">
      <c r="C48" s="16" t="s">
        <v>35</v>
      </c>
      <c r="D48" s="16"/>
      <c r="E48" s="16"/>
      <c r="F48" s="17"/>
      <c r="G48" s="17"/>
      <c r="H48" s="17"/>
      <c r="I48" s="17"/>
      <c r="J48" s="17"/>
      <c r="K48" s="17"/>
      <c r="L48" s="17"/>
      <c r="M48" s="17"/>
      <c r="N48" s="17"/>
      <c r="O48" s="61"/>
      <c r="P48" s="61"/>
      <c r="Q48" s="62"/>
      <c r="R48" s="62"/>
    </row>
    <row r="49" spans="1:120" ht="16.5" customHeight="1" x14ac:dyDescent="0.3">
      <c r="B49" s="16"/>
      <c r="C49" s="14"/>
      <c r="D49" s="16"/>
      <c r="E49" s="16"/>
      <c r="F49" s="17"/>
      <c r="G49" s="17"/>
      <c r="H49" s="17"/>
      <c r="I49" s="17"/>
      <c r="J49" s="17"/>
      <c r="K49" s="17"/>
      <c r="L49" s="17"/>
      <c r="M49" s="17"/>
      <c r="N49" s="17"/>
      <c r="O49" s="61"/>
      <c r="P49" s="61"/>
      <c r="Q49" s="62"/>
      <c r="R49" s="62"/>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row>
    <row r="50" spans="1:120" ht="16.5" x14ac:dyDescent="0.3">
      <c r="B50" s="55" t="s">
        <v>36</v>
      </c>
      <c r="C50" s="14"/>
      <c r="D50" s="16"/>
      <c r="E50" s="16"/>
      <c r="F50" s="17"/>
      <c r="G50" s="17"/>
      <c r="H50" s="17"/>
      <c r="I50" s="17"/>
      <c r="J50" s="17"/>
      <c r="K50" s="17"/>
      <c r="L50" s="17"/>
      <c r="M50" s="17"/>
      <c r="N50" s="17"/>
      <c r="O50" s="61"/>
      <c r="P50" s="61"/>
      <c r="Q50" s="62"/>
      <c r="R50" s="62"/>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row>
    <row r="51" spans="1:120" ht="16.5" x14ac:dyDescent="0.3">
      <c r="C51" s="14"/>
      <c r="D51" s="63">
        <v>102.11</v>
      </c>
      <c r="E51" s="16"/>
      <c r="F51" s="17" t="s">
        <v>76</v>
      </c>
      <c r="G51" s="17"/>
      <c r="H51" s="17"/>
      <c r="I51" s="17"/>
      <c r="J51" s="17"/>
      <c r="K51" s="17"/>
      <c r="L51" s="17"/>
      <c r="M51" s="17"/>
      <c r="N51" s="17"/>
      <c r="O51" s="61"/>
      <c r="P51" s="61"/>
      <c r="Q51" s="62"/>
      <c r="R51" s="62"/>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row>
    <row r="52" spans="1:120" s="13" customFormat="1" x14ac:dyDescent="0.2">
      <c r="A52" s="19"/>
      <c r="B52" s="55" t="s">
        <v>46</v>
      </c>
      <c r="C52" s="56"/>
      <c r="D52" s="55"/>
      <c r="E52" s="55"/>
      <c r="F52" s="64"/>
      <c r="G52" s="64"/>
      <c r="H52" s="64"/>
      <c r="I52" s="64"/>
      <c r="J52" s="64"/>
      <c r="K52" s="64"/>
      <c r="L52" s="64"/>
      <c r="M52" s="64"/>
      <c r="N52" s="64"/>
      <c r="O52" s="65"/>
      <c r="P52" s="65"/>
      <c r="Q52" s="66"/>
      <c r="R52" s="66"/>
    </row>
    <row r="53" spans="1:120" s="13" customFormat="1" x14ac:dyDescent="0.2">
      <c r="A53" s="19"/>
      <c r="B53" s="55"/>
      <c r="C53" s="56"/>
      <c r="D53" s="67" t="s">
        <v>47</v>
      </c>
      <c r="E53" s="55"/>
      <c r="F53" s="64"/>
      <c r="G53" s="64"/>
      <c r="H53" s="64"/>
      <c r="I53" s="64"/>
      <c r="J53" s="64"/>
      <c r="K53" s="64"/>
      <c r="L53" s="64"/>
      <c r="M53" s="64"/>
      <c r="N53" s="64"/>
      <c r="O53" s="65"/>
      <c r="P53" s="65"/>
      <c r="Q53" s="66"/>
      <c r="R53" s="66"/>
    </row>
    <row r="54" spans="1:120" s="67" customFormat="1" x14ac:dyDescent="0.2">
      <c r="A54" s="69"/>
      <c r="B54" s="16"/>
      <c r="C54" s="17"/>
      <c r="F54" s="70"/>
      <c r="G54" s="70"/>
      <c r="H54" s="70"/>
      <c r="I54" s="70"/>
      <c r="J54" s="71"/>
      <c r="K54" s="70"/>
      <c r="L54" s="70"/>
      <c r="M54" s="70"/>
      <c r="N54" s="70"/>
      <c r="O54" s="72"/>
      <c r="P54" s="72"/>
      <c r="Q54" s="73"/>
      <c r="R54" s="73"/>
    </row>
    <row r="55" spans="1:120" s="67" customFormat="1" x14ac:dyDescent="0.2">
      <c r="A55" s="69"/>
      <c r="B55" s="74" t="s">
        <v>75</v>
      </c>
      <c r="C55" s="68"/>
      <c r="D55" s="75"/>
      <c r="E55" s="75"/>
      <c r="F55" s="76"/>
      <c r="G55" s="76"/>
      <c r="H55" s="70"/>
      <c r="I55" s="70"/>
      <c r="J55" s="71"/>
      <c r="K55" s="70"/>
      <c r="L55" s="70"/>
      <c r="M55" s="70"/>
      <c r="N55" s="70"/>
      <c r="O55" s="72"/>
      <c r="P55" s="72"/>
      <c r="Q55" s="73"/>
      <c r="R55" s="73"/>
    </row>
    <row r="56" spans="1:120" s="67" customFormat="1" x14ac:dyDescent="0.2">
      <c r="A56" s="69"/>
      <c r="C56" s="68" t="s">
        <v>13</v>
      </c>
      <c r="D56" s="77">
        <v>96700</v>
      </c>
      <c r="E56" s="78"/>
      <c r="F56" s="79"/>
      <c r="G56" s="79"/>
      <c r="H56" s="79"/>
      <c r="I56" s="79"/>
      <c r="J56" s="79"/>
      <c r="K56" s="79"/>
      <c r="L56" s="79"/>
      <c r="M56" s="79"/>
      <c r="N56" s="80" t="s">
        <v>13</v>
      </c>
      <c r="O56" s="67">
        <f t="shared" ref="O56:O64" si="8">D56</f>
        <v>96700</v>
      </c>
      <c r="Q56" s="68"/>
      <c r="R56" s="68"/>
    </row>
    <row r="57" spans="1:120" s="67" customFormat="1" x14ac:dyDescent="0.2">
      <c r="A57" s="69"/>
      <c r="C57" s="68" t="s">
        <v>14</v>
      </c>
      <c r="D57" s="78">
        <v>103300</v>
      </c>
      <c r="E57" s="78"/>
      <c r="F57" s="70"/>
      <c r="G57" s="70"/>
      <c r="H57" s="70"/>
      <c r="I57" s="70"/>
      <c r="J57" s="70"/>
      <c r="K57" s="70"/>
      <c r="L57" s="70"/>
      <c r="M57" s="70"/>
      <c r="N57" s="68" t="s">
        <v>14</v>
      </c>
      <c r="O57" s="67">
        <f t="shared" si="8"/>
        <v>103300</v>
      </c>
      <c r="Q57" s="68"/>
      <c r="R57" s="68"/>
    </row>
    <row r="58" spans="1:120" s="67" customFormat="1" x14ac:dyDescent="0.2">
      <c r="A58" s="69"/>
      <c r="C58" s="68" t="s">
        <v>15</v>
      </c>
      <c r="D58" s="81">
        <v>75200</v>
      </c>
      <c r="E58" s="78"/>
      <c r="F58" s="70"/>
      <c r="G58" s="70"/>
      <c r="H58" s="70"/>
      <c r="I58" s="70"/>
      <c r="J58" s="70"/>
      <c r="K58" s="70"/>
      <c r="L58" s="70"/>
      <c r="M58" s="70"/>
      <c r="N58" s="68" t="s">
        <v>15</v>
      </c>
      <c r="O58" s="67">
        <f t="shared" si="8"/>
        <v>75200</v>
      </c>
      <c r="Q58" s="68"/>
      <c r="R58" s="68"/>
    </row>
    <row r="59" spans="1:120" s="67" customFormat="1" x14ac:dyDescent="0.2">
      <c r="A59" s="69"/>
      <c r="C59" s="68" t="s">
        <v>16</v>
      </c>
      <c r="D59" s="77">
        <v>65500</v>
      </c>
      <c r="E59" s="78"/>
      <c r="F59" s="70"/>
      <c r="G59" s="70"/>
      <c r="H59" s="70"/>
      <c r="I59" s="70"/>
      <c r="J59" s="70"/>
      <c r="K59" s="70"/>
      <c r="L59" s="70"/>
      <c r="M59" s="70"/>
      <c r="N59" s="68" t="s">
        <v>16</v>
      </c>
      <c r="O59" s="67">
        <f t="shared" si="8"/>
        <v>65500</v>
      </c>
      <c r="Q59" s="68"/>
      <c r="R59" s="68"/>
    </row>
    <row r="60" spans="1:120" s="67" customFormat="1" x14ac:dyDescent="0.2">
      <c r="A60" s="69"/>
      <c r="C60" s="68" t="s">
        <v>17</v>
      </c>
      <c r="D60" s="77">
        <v>58000</v>
      </c>
      <c r="E60" s="78"/>
      <c r="F60" s="70"/>
      <c r="G60" s="70"/>
      <c r="H60" s="70"/>
      <c r="I60" s="70"/>
      <c r="J60" s="70"/>
      <c r="K60" s="70"/>
      <c r="L60" s="70"/>
      <c r="M60" s="70"/>
      <c r="N60" s="68" t="s">
        <v>17</v>
      </c>
      <c r="O60" s="67">
        <f t="shared" si="8"/>
        <v>58000</v>
      </c>
      <c r="Q60" s="68"/>
      <c r="R60" s="68"/>
    </row>
    <row r="61" spans="1:120" s="67" customFormat="1" x14ac:dyDescent="0.2">
      <c r="A61" s="69"/>
      <c r="C61" s="68" t="s">
        <v>45</v>
      </c>
      <c r="D61" s="77">
        <v>49500</v>
      </c>
      <c r="E61" s="78"/>
      <c r="F61" s="70"/>
      <c r="G61" s="70"/>
      <c r="H61" s="70"/>
      <c r="I61" s="70"/>
      <c r="J61" s="70"/>
      <c r="K61" s="70"/>
      <c r="L61" s="70"/>
      <c r="M61" s="70"/>
      <c r="N61" s="68" t="s">
        <v>45</v>
      </c>
      <c r="O61" s="67">
        <f t="shared" si="8"/>
        <v>49500</v>
      </c>
      <c r="Q61" s="68"/>
      <c r="R61" s="68"/>
    </row>
    <row r="62" spans="1:120" s="67" customFormat="1" x14ac:dyDescent="0.2">
      <c r="A62" s="69"/>
      <c r="C62" s="68" t="s">
        <v>43</v>
      </c>
      <c r="D62" s="78">
        <v>0</v>
      </c>
      <c r="E62" s="78"/>
      <c r="F62" s="70"/>
      <c r="G62" s="70"/>
      <c r="H62" s="70"/>
      <c r="I62" s="70"/>
      <c r="J62" s="70"/>
      <c r="K62" s="70"/>
      <c r="L62" s="70"/>
      <c r="M62" s="70"/>
      <c r="N62" s="80" t="s">
        <v>43</v>
      </c>
      <c r="O62" s="67">
        <f t="shared" si="8"/>
        <v>0</v>
      </c>
      <c r="Q62" s="68"/>
      <c r="R62" s="68"/>
    </row>
    <row r="63" spans="1:120" s="67" customFormat="1" x14ac:dyDescent="0.2">
      <c r="A63" s="69"/>
      <c r="C63" s="68" t="s">
        <v>44</v>
      </c>
      <c r="D63" s="78">
        <v>40500</v>
      </c>
      <c r="E63" s="78"/>
      <c r="F63" s="79"/>
      <c r="G63" s="79"/>
      <c r="H63" s="79"/>
      <c r="I63" s="79"/>
      <c r="J63" s="79"/>
      <c r="K63" s="79"/>
      <c r="L63" s="79"/>
      <c r="M63" s="79"/>
      <c r="N63" s="80" t="s">
        <v>44</v>
      </c>
      <c r="O63" s="67">
        <f t="shared" si="8"/>
        <v>40500</v>
      </c>
      <c r="Q63" s="68"/>
      <c r="R63" s="68"/>
    </row>
    <row r="64" spans="1:120" s="67" customFormat="1" x14ac:dyDescent="0.2">
      <c r="A64" s="69"/>
      <c r="C64" s="68" t="s">
        <v>18</v>
      </c>
      <c r="D64" s="81">
        <v>27500</v>
      </c>
      <c r="E64" s="78"/>
      <c r="F64" s="79"/>
      <c r="G64" s="79"/>
      <c r="H64" s="79"/>
      <c r="I64" s="79"/>
      <c r="J64" s="79"/>
      <c r="K64" s="79"/>
      <c r="L64" s="79"/>
      <c r="M64" s="79"/>
      <c r="N64" s="80" t="s">
        <v>18</v>
      </c>
      <c r="O64" s="67">
        <f t="shared" si="8"/>
        <v>27500</v>
      </c>
      <c r="Q64" s="68"/>
      <c r="R64" s="68"/>
    </row>
    <row r="65" spans="1:254" s="67" customFormat="1" x14ac:dyDescent="0.2">
      <c r="A65" s="19"/>
      <c r="B65" s="74"/>
      <c r="C65" s="18"/>
      <c r="D65" s="13"/>
      <c r="E65" s="13"/>
      <c r="F65" s="82"/>
      <c r="G65" s="82"/>
      <c r="H65" s="82"/>
      <c r="I65" s="82"/>
      <c r="J65" s="82"/>
      <c r="K65" s="82"/>
      <c r="L65" s="82"/>
      <c r="M65" s="82"/>
      <c r="N65" s="82"/>
      <c r="O65" s="13"/>
      <c r="P65" s="13"/>
      <c r="Q65" s="18"/>
      <c r="R65" s="18"/>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c r="CF65" s="13"/>
      <c r="CG65" s="13"/>
      <c r="CH65" s="13"/>
      <c r="CI65" s="13"/>
      <c r="CJ65" s="13"/>
      <c r="CK65" s="13"/>
      <c r="CL65" s="13"/>
      <c r="CM65" s="13"/>
      <c r="CN65" s="13"/>
      <c r="CO65" s="13"/>
      <c r="CP65" s="13"/>
      <c r="CQ65" s="13"/>
      <c r="CR65" s="13"/>
      <c r="CS65" s="13"/>
      <c r="CT65" s="13"/>
      <c r="CU65" s="13"/>
      <c r="CV65" s="13"/>
      <c r="CW65" s="13"/>
      <c r="CX65" s="13"/>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13"/>
      <c r="ER65" s="13"/>
      <c r="ES65" s="13"/>
      <c r="ET65" s="13"/>
      <c r="EU65" s="13"/>
      <c r="EV65" s="13"/>
      <c r="EW65" s="13"/>
      <c r="EX65" s="13"/>
      <c r="EY65" s="13"/>
      <c r="EZ65" s="13"/>
      <c r="FA65" s="13"/>
      <c r="FB65" s="13"/>
      <c r="FC65" s="13"/>
      <c r="FD65" s="13"/>
      <c r="FE65" s="13"/>
      <c r="FF65" s="13"/>
      <c r="FG65" s="13"/>
      <c r="FH65" s="13"/>
      <c r="FI65" s="13"/>
      <c r="FJ65" s="13"/>
      <c r="FK65" s="13"/>
      <c r="FL65" s="13"/>
      <c r="FM65" s="13"/>
      <c r="FN65" s="13"/>
      <c r="FO65" s="13"/>
      <c r="FP65" s="13"/>
      <c r="FQ65" s="13"/>
      <c r="FR65" s="13"/>
      <c r="FS65" s="13"/>
      <c r="FT65" s="13"/>
      <c r="FU65" s="13"/>
      <c r="FV65" s="13"/>
      <c r="FW65" s="13"/>
      <c r="FX65" s="13"/>
      <c r="FY65" s="13"/>
      <c r="FZ65" s="13"/>
      <c r="GA65" s="13"/>
      <c r="GB65" s="13"/>
      <c r="GC65" s="13"/>
      <c r="GD65" s="13"/>
      <c r="GE65" s="13"/>
      <c r="GF65" s="13"/>
      <c r="GG65" s="13"/>
      <c r="GH65" s="13"/>
      <c r="GI65" s="13"/>
      <c r="GJ65" s="13"/>
      <c r="GK65" s="13"/>
      <c r="GL65" s="13"/>
      <c r="GM65" s="13"/>
      <c r="GN65" s="13"/>
      <c r="GO65" s="13"/>
      <c r="GP65" s="13"/>
      <c r="GQ65" s="13"/>
      <c r="GR65" s="13"/>
      <c r="GS65" s="13"/>
      <c r="GT65" s="13"/>
      <c r="GU65" s="13"/>
      <c r="GV65" s="13"/>
      <c r="GW65" s="13"/>
      <c r="GX65" s="13"/>
      <c r="GY65" s="13"/>
      <c r="GZ65" s="13"/>
      <c r="HA65" s="13"/>
      <c r="HB65" s="13"/>
      <c r="HC65" s="13"/>
      <c r="HD65" s="13"/>
      <c r="HE65" s="13"/>
      <c r="HF65" s="13"/>
      <c r="HG65" s="13"/>
      <c r="HH65" s="13"/>
      <c r="HI65" s="13"/>
      <c r="HJ65" s="13"/>
      <c r="HK65" s="13"/>
      <c r="HL65" s="13"/>
      <c r="HM65" s="13"/>
      <c r="HN65" s="13"/>
      <c r="HO65" s="13"/>
      <c r="HP65" s="13"/>
      <c r="HQ65" s="13"/>
      <c r="HR65" s="13"/>
      <c r="HS65" s="13"/>
      <c r="HT65" s="13"/>
      <c r="HU65" s="13"/>
      <c r="HV65" s="13"/>
      <c r="HW65" s="13"/>
      <c r="HX65" s="13"/>
      <c r="HY65" s="13"/>
      <c r="HZ65" s="13"/>
      <c r="IA65" s="13"/>
      <c r="IB65" s="13"/>
      <c r="IC65" s="13"/>
      <c r="ID65" s="13"/>
      <c r="IE65" s="13"/>
      <c r="IF65" s="13"/>
      <c r="IG65" s="13"/>
      <c r="IH65" s="13"/>
      <c r="II65" s="13"/>
      <c r="IJ65" s="13"/>
      <c r="IK65" s="13"/>
      <c r="IL65" s="13"/>
      <c r="IM65" s="13"/>
      <c r="IN65" s="13"/>
      <c r="IO65" s="13"/>
      <c r="IP65" s="13"/>
      <c r="IQ65" s="13"/>
      <c r="IR65" s="13"/>
      <c r="IS65" s="13"/>
      <c r="IT65" s="13"/>
    </row>
    <row r="66" spans="1:254" s="13" customFormat="1" x14ac:dyDescent="0.2">
      <c r="A66" s="11"/>
      <c r="B66" s="1"/>
      <c r="C66" s="10"/>
      <c r="D66" s="1"/>
      <c r="E66" s="1"/>
      <c r="F66" s="12"/>
      <c r="G66" s="12"/>
      <c r="H66" s="12"/>
      <c r="I66" s="12"/>
      <c r="J66" s="12"/>
      <c r="K66" s="12"/>
      <c r="L66" s="12"/>
      <c r="M66" s="12"/>
      <c r="N66" s="12"/>
      <c r="O66" s="1"/>
      <c r="P66" s="1"/>
      <c r="Q66" s="10"/>
      <c r="R66" s="10"/>
      <c r="S66" s="1"/>
      <c r="T66" s="1"/>
      <c r="U66" s="1"/>
      <c r="V66" s="1"/>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119"/>
      <c r="AT66" s="119"/>
      <c r="AU66" s="119"/>
      <c r="AV66" s="119"/>
      <c r="AW66" s="119"/>
      <c r="AX66" s="119"/>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
      <c r="DP66" s="1"/>
      <c r="DQ66" s="1"/>
      <c r="DR66" s="1"/>
      <c r="DS66" s="1"/>
      <c r="DT66" s="1"/>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1"/>
      <c r="EU66" s="1"/>
      <c r="EV66" s="1"/>
      <c r="EW66" s="1"/>
      <c r="EX66" s="1"/>
      <c r="EY66" s="1"/>
      <c r="EZ66" s="1"/>
      <c r="FA66" s="1"/>
      <c r="FB66" s="1"/>
      <c r="FC66" s="1"/>
      <c r="FD66" s="1"/>
      <c r="FE66" s="1"/>
      <c r="FF66" s="1"/>
      <c r="FG66" s="1"/>
      <c r="FH66" s="1"/>
      <c r="FI66" s="1"/>
      <c r="FJ66" s="1"/>
      <c r="FK66" s="1"/>
      <c r="FL66" s="1"/>
      <c r="FM66" s="1"/>
      <c r="FN66" s="1"/>
      <c r="FO66" s="1"/>
      <c r="FP66" s="1"/>
      <c r="FQ66" s="1"/>
      <c r="FR66" s="1"/>
      <c r="FS66" s="1"/>
      <c r="FT66" s="1"/>
      <c r="FU66" s="1"/>
      <c r="FV66" s="1"/>
      <c r="FW66" s="1"/>
      <c r="FX66" s="1"/>
      <c r="FY66" s="1"/>
      <c r="FZ66" s="1"/>
      <c r="GA66" s="1"/>
      <c r="GB66" s="1"/>
      <c r="GC66" s="1"/>
      <c r="GD66" s="1"/>
      <c r="GE66" s="1"/>
      <c r="GF66" s="1"/>
      <c r="GG66" s="1"/>
      <c r="GH66" s="1"/>
      <c r="GI66" s="1"/>
      <c r="GJ66" s="1"/>
      <c r="GK66" s="1"/>
      <c r="GL66" s="1"/>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1"/>
      <c r="HQ66" s="1"/>
      <c r="HR66" s="1"/>
      <c r="HS66" s="1"/>
      <c r="HT66" s="1"/>
      <c r="HU66" s="1"/>
      <c r="HV66" s="1"/>
      <c r="HW66" s="1"/>
      <c r="HX66" s="1"/>
      <c r="HY66" s="1"/>
      <c r="HZ66" s="1"/>
      <c r="IA66" s="1"/>
      <c r="IB66" s="1"/>
      <c r="IC66" s="1"/>
      <c r="ID66" s="1"/>
      <c r="IE66" s="1"/>
      <c r="IF66" s="1"/>
      <c r="IG66" s="1"/>
      <c r="IH66" s="1"/>
      <c r="II66" s="1"/>
      <c r="IJ66" s="1"/>
      <c r="IK66" s="1"/>
      <c r="IL66" s="1"/>
      <c r="IM66" s="1"/>
      <c r="IN66" s="1"/>
      <c r="IO66" s="1"/>
      <c r="IP66" s="1"/>
      <c r="IQ66" s="1"/>
      <c r="IR66" s="1"/>
      <c r="IS66" s="1"/>
      <c r="IT66" s="1"/>
    </row>
    <row r="68" spans="1:254" x14ac:dyDescent="0.2">
      <c r="B68" s="13" t="s">
        <v>37</v>
      </c>
      <c r="F68" s="83"/>
      <c r="G68" s="83"/>
      <c r="H68" s="83"/>
      <c r="I68" s="83"/>
      <c r="J68" s="83"/>
      <c r="K68" s="83"/>
      <c r="L68" s="83"/>
      <c r="M68" s="83"/>
      <c r="N68" s="83"/>
      <c r="O68" s="84"/>
      <c r="P68" s="84"/>
      <c r="Q68" s="84"/>
      <c r="R68" s="84"/>
    </row>
    <row r="69" spans="1:254" x14ac:dyDescent="0.2">
      <c r="C69" s="10" t="s">
        <v>12</v>
      </c>
      <c r="F69" s="33" t="s">
        <v>13</v>
      </c>
      <c r="G69" s="33" t="s">
        <v>14</v>
      </c>
      <c r="H69" s="33" t="s">
        <v>15</v>
      </c>
      <c r="I69" s="33" t="s">
        <v>16</v>
      </c>
      <c r="J69" s="33" t="s">
        <v>17</v>
      </c>
      <c r="K69" s="33" t="s">
        <v>45</v>
      </c>
      <c r="L69" s="33" t="s">
        <v>43</v>
      </c>
      <c r="M69" s="33" t="s">
        <v>44</v>
      </c>
      <c r="N69" s="33" t="s">
        <v>18</v>
      </c>
      <c r="O69" s="33" t="s">
        <v>26</v>
      </c>
      <c r="P69" s="84"/>
      <c r="Q69" s="84"/>
      <c r="R69" s="84"/>
      <c r="S69" s="84"/>
    </row>
    <row r="70" spans="1:254" x14ac:dyDescent="0.2">
      <c r="O70" s="12"/>
      <c r="Q70" s="1"/>
      <c r="S70" s="10"/>
    </row>
    <row r="71" spans="1:254" x14ac:dyDescent="0.2">
      <c r="C71" s="10" t="str">
        <f>"1. "</f>
        <v xml:space="preserve">1. </v>
      </c>
      <c r="D71" s="1" t="s">
        <v>21</v>
      </c>
      <c r="F71" s="89">
        <f t="shared" ref="F71:N71" si="9">F14*VLOOKUP(F$12,Salary,2,FALSE)/52*1</f>
        <v>1859.6153846153845</v>
      </c>
      <c r="G71" s="89">
        <f t="shared" si="9"/>
        <v>0</v>
      </c>
      <c r="H71" s="89">
        <f t="shared" si="9"/>
        <v>0</v>
      </c>
      <c r="I71" s="89">
        <f t="shared" si="9"/>
        <v>0</v>
      </c>
      <c r="J71" s="89">
        <f t="shared" si="9"/>
        <v>0</v>
      </c>
      <c r="K71" s="89">
        <f t="shared" si="9"/>
        <v>0</v>
      </c>
      <c r="L71" s="89">
        <f t="shared" si="9"/>
        <v>0</v>
      </c>
      <c r="M71" s="89">
        <f t="shared" si="9"/>
        <v>0</v>
      </c>
      <c r="N71" s="89">
        <f t="shared" si="9"/>
        <v>0</v>
      </c>
      <c r="O71" s="89">
        <f t="shared" ref="O71:O80" si="10">SUM(F71:N71)</f>
        <v>1859.6153846153845</v>
      </c>
      <c r="Q71" s="1"/>
      <c r="S71" s="10"/>
    </row>
    <row r="72" spans="1:254" x14ac:dyDescent="0.2">
      <c r="C72" s="10" t="str">
        <f>"2. "</f>
        <v xml:space="preserve">2. </v>
      </c>
      <c r="D72" s="1" t="s">
        <v>38</v>
      </c>
      <c r="F72" s="89">
        <f t="shared" ref="F72:N72" si="11">F15*VLOOKUP(F$12,Salary,2,FALSE)/52*1</f>
        <v>0</v>
      </c>
      <c r="G72" s="89">
        <f t="shared" si="11"/>
        <v>3973.0769230769229</v>
      </c>
      <c r="H72" s="89">
        <f t="shared" si="11"/>
        <v>0</v>
      </c>
      <c r="I72" s="89">
        <f t="shared" si="11"/>
        <v>0</v>
      </c>
      <c r="J72" s="89">
        <f t="shared" si="11"/>
        <v>0</v>
      </c>
      <c r="K72" s="89">
        <f t="shared" si="11"/>
        <v>0</v>
      </c>
      <c r="L72" s="89">
        <f t="shared" si="11"/>
        <v>0</v>
      </c>
      <c r="M72" s="89">
        <f t="shared" si="11"/>
        <v>0</v>
      </c>
      <c r="N72" s="89">
        <f t="shared" si="11"/>
        <v>0</v>
      </c>
      <c r="O72" s="89">
        <f t="shared" si="10"/>
        <v>3973.0769230769229</v>
      </c>
      <c r="Q72" s="1"/>
      <c r="S72" s="10"/>
    </row>
    <row r="73" spans="1:254" x14ac:dyDescent="0.2">
      <c r="C73" s="10" t="str">
        <f>"3. "</f>
        <v xml:space="preserve">3. </v>
      </c>
      <c r="D73" s="1" t="s">
        <v>39</v>
      </c>
      <c r="F73" s="89">
        <f t="shared" ref="F73:N73" si="12">F16*VLOOKUP(F$12,Salary,2,FALSE)/52*1</f>
        <v>0</v>
      </c>
      <c r="G73" s="89">
        <f t="shared" si="12"/>
        <v>0</v>
      </c>
      <c r="H73" s="89">
        <f t="shared" si="12"/>
        <v>4338.4615384615381</v>
      </c>
      <c r="I73" s="89">
        <f t="shared" si="12"/>
        <v>0</v>
      </c>
      <c r="J73" s="89">
        <f t="shared" si="12"/>
        <v>0</v>
      </c>
      <c r="K73" s="89">
        <f t="shared" si="12"/>
        <v>0</v>
      </c>
      <c r="L73" s="89">
        <f t="shared" si="12"/>
        <v>0</v>
      </c>
      <c r="M73" s="89">
        <f t="shared" si="12"/>
        <v>0</v>
      </c>
      <c r="N73" s="89">
        <f t="shared" si="12"/>
        <v>0</v>
      </c>
      <c r="O73" s="89">
        <f t="shared" si="10"/>
        <v>4338.4615384615381</v>
      </c>
      <c r="Q73" s="1"/>
      <c r="S73" s="10"/>
    </row>
    <row r="74" spans="1:254" x14ac:dyDescent="0.2">
      <c r="C74" s="10" t="str">
        <f>"4. "</f>
        <v xml:space="preserve">4. </v>
      </c>
      <c r="D74" s="1" t="s">
        <v>23</v>
      </c>
      <c r="F74" s="89">
        <f t="shared" ref="F74:N74" si="13">F17*VLOOKUP(F$12,Salary,2,FALSE)/52*1</f>
        <v>0</v>
      </c>
      <c r="G74" s="89">
        <f t="shared" si="13"/>
        <v>0</v>
      </c>
      <c r="H74" s="89">
        <f t="shared" si="13"/>
        <v>0</v>
      </c>
      <c r="I74" s="89">
        <f t="shared" si="13"/>
        <v>5038.4615384615381</v>
      </c>
      <c r="J74" s="89">
        <f t="shared" si="13"/>
        <v>0</v>
      </c>
      <c r="K74" s="89">
        <f t="shared" si="13"/>
        <v>0</v>
      </c>
      <c r="L74" s="89">
        <f t="shared" si="13"/>
        <v>0</v>
      </c>
      <c r="M74" s="89">
        <f t="shared" si="13"/>
        <v>0</v>
      </c>
      <c r="N74" s="89">
        <f t="shared" si="13"/>
        <v>0</v>
      </c>
      <c r="O74" s="89">
        <f t="shared" si="10"/>
        <v>5038.4615384615381</v>
      </c>
      <c r="Q74" s="1"/>
      <c r="S74" s="10"/>
    </row>
    <row r="75" spans="1:254" x14ac:dyDescent="0.2">
      <c r="C75" s="10" t="str">
        <f>"5. "</f>
        <v xml:space="preserve">5. </v>
      </c>
      <c r="D75" s="1" t="s">
        <v>23</v>
      </c>
      <c r="F75" s="89">
        <f t="shared" ref="F75:N75" si="14">F18*VLOOKUP(F$12,Salary,2,FALSE)/52*1</f>
        <v>0</v>
      </c>
      <c r="G75" s="89">
        <f t="shared" si="14"/>
        <v>0</v>
      </c>
      <c r="H75" s="89">
        <f t="shared" si="14"/>
        <v>0</v>
      </c>
      <c r="I75" s="89">
        <f t="shared" si="14"/>
        <v>0</v>
      </c>
      <c r="J75" s="89">
        <f t="shared" si="14"/>
        <v>0</v>
      </c>
      <c r="K75" s="89">
        <f t="shared" si="14"/>
        <v>4759.6153846153848</v>
      </c>
      <c r="L75" s="89">
        <f t="shared" si="14"/>
        <v>0</v>
      </c>
      <c r="M75" s="89">
        <f t="shared" si="14"/>
        <v>0</v>
      </c>
      <c r="N75" s="89">
        <f t="shared" si="14"/>
        <v>0</v>
      </c>
      <c r="O75" s="89">
        <f t="shared" si="10"/>
        <v>4759.6153846153848</v>
      </c>
      <c r="Q75" s="1"/>
      <c r="S75" s="10"/>
    </row>
    <row r="76" spans="1:254" x14ac:dyDescent="0.2">
      <c r="C76" s="10" t="str">
        <f>"6. "</f>
        <v xml:space="preserve">6. </v>
      </c>
      <c r="D76" s="1" t="s">
        <v>23</v>
      </c>
      <c r="F76" s="89">
        <f t="shared" ref="F76:N76" si="15">F19*VLOOKUP(F$12,Salary,2,FALSE)/52*1</f>
        <v>0</v>
      </c>
      <c r="G76" s="89">
        <f t="shared" si="15"/>
        <v>0</v>
      </c>
      <c r="H76" s="89">
        <f t="shared" si="15"/>
        <v>0</v>
      </c>
      <c r="I76" s="89">
        <f t="shared" si="15"/>
        <v>0</v>
      </c>
      <c r="J76" s="89">
        <f t="shared" si="15"/>
        <v>0</v>
      </c>
      <c r="K76" s="89">
        <f t="shared" si="15"/>
        <v>0</v>
      </c>
      <c r="L76" s="89">
        <f t="shared" si="15"/>
        <v>0</v>
      </c>
      <c r="M76" s="89">
        <f t="shared" si="15"/>
        <v>0</v>
      </c>
      <c r="N76" s="89">
        <f t="shared" si="15"/>
        <v>3173.0769230769229</v>
      </c>
      <c r="O76" s="89">
        <f t="shared" si="10"/>
        <v>3173.0769230769229</v>
      </c>
      <c r="Q76" s="1"/>
      <c r="S76" s="10"/>
    </row>
    <row r="77" spans="1:254" x14ac:dyDescent="0.2">
      <c r="C77" s="10" t="str">
        <f>"7. "</f>
        <v xml:space="preserve">7. </v>
      </c>
      <c r="D77" s="1" t="s">
        <v>23</v>
      </c>
      <c r="F77" s="89">
        <f t="shared" ref="F77:N77" si="16">F20*VLOOKUP(F$12,Salary,2,FALSE)/52*1</f>
        <v>0</v>
      </c>
      <c r="G77" s="89">
        <f t="shared" si="16"/>
        <v>0</v>
      </c>
      <c r="H77" s="89">
        <f t="shared" si="16"/>
        <v>0</v>
      </c>
      <c r="I77" s="89">
        <f t="shared" si="16"/>
        <v>0</v>
      </c>
      <c r="J77" s="89">
        <f t="shared" si="16"/>
        <v>0</v>
      </c>
      <c r="K77" s="89">
        <f t="shared" si="16"/>
        <v>6663.4615384615381</v>
      </c>
      <c r="L77" s="89">
        <f t="shared" si="16"/>
        <v>0</v>
      </c>
      <c r="M77" s="89">
        <f t="shared" si="16"/>
        <v>0</v>
      </c>
      <c r="N77" s="89">
        <f t="shared" si="16"/>
        <v>0</v>
      </c>
      <c r="O77" s="89">
        <f t="shared" si="10"/>
        <v>6663.4615384615381</v>
      </c>
      <c r="Q77" s="1"/>
      <c r="S77" s="10"/>
    </row>
    <row r="78" spans="1:254" x14ac:dyDescent="0.2">
      <c r="C78" s="10" t="str">
        <f>"8. "</f>
        <v xml:space="preserve">8. </v>
      </c>
      <c r="D78" s="1" t="s">
        <v>23</v>
      </c>
      <c r="F78" s="89">
        <f t="shared" ref="F78:N78" si="17">F21*VLOOKUP(F$12,Salary,2,FALSE)/52*1</f>
        <v>0</v>
      </c>
      <c r="G78" s="89">
        <f t="shared" si="17"/>
        <v>0</v>
      </c>
      <c r="H78" s="89">
        <f t="shared" si="17"/>
        <v>0</v>
      </c>
      <c r="I78" s="89">
        <f t="shared" si="17"/>
        <v>10076.923076923076</v>
      </c>
      <c r="J78" s="89">
        <f t="shared" si="17"/>
        <v>0</v>
      </c>
      <c r="K78" s="89">
        <f t="shared" si="17"/>
        <v>0</v>
      </c>
      <c r="L78" s="89">
        <f t="shared" si="17"/>
        <v>0</v>
      </c>
      <c r="M78" s="89">
        <f t="shared" si="17"/>
        <v>0</v>
      </c>
      <c r="N78" s="89">
        <f t="shared" si="17"/>
        <v>0</v>
      </c>
      <c r="O78" s="89">
        <f t="shared" si="10"/>
        <v>10076.923076923076</v>
      </c>
      <c r="Q78" s="1"/>
      <c r="S78" s="10"/>
    </row>
    <row r="79" spans="1:254" x14ac:dyDescent="0.2">
      <c r="C79" s="10" t="str">
        <f>"9. "</f>
        <v xml:space="preserve">9. </v>
      </c>
      <c r="D79" s="1" t="s">
        <v>23</v>
      </c>
      <c r="F79" s="89">
        <f t="shared" ref="F79:N79" si="18">F22*VLOOKUP(F$12,Salary,2,FALSE)/52*1</f>
        <v>0</v>
      </c>
      <c r="G79" s="89">
        <f t="shared" si="18"/>
        <v>0</v>
      </c>
      <c r="H79" s="89">
        <f t="shared" si="18"/>
        <v>13015.384615384615</v>
      </c>
      <c r="I79" s="89">
        <f t="shared" si="18"/>
        <v>0</v>
      </c>
      <c r="J79" s="89">
        <f t="shared" si="18"/>
        <v>0</v>
      </c>
      <c r="K79" s="89">
        <f t="shared" si="18"/>
        <v>0</v>
      </c>
      <c r="L79" s="89">
        <f t="shared" si="18"/>
        <v>0</v>
      </c>
      <c r="M79" s="89">
        <f t="shared" si="18"/>
        <v>0</v>
      </c>
      <c r="N79" s="89">
        <f t="shared" si="18"/>
        <v>0</v>
      </c>
      <c r="O79" s="89">
        <f t="shared" si="10"/>
        <v>13015.384615384615</v>
      </c>
      <c r="Q79" s="1"/>
      <c r="S79" s="10"/>
    </row>
    <row r="80" spans="1:254" x14ac:dyDescent="0.2">
      <c r="C80" s="10" t="str">
        <f>"10. "</f>
        <v xml:space="preserve">10. </v>
      </c>
      <c r="D80" s="1" t="s">
        <v>23</v>
      </c>
      <c r="F80" s="89">
        <f t="shared" ref="F80:N80" si="19">F23*VLOOKUP(F$12,Salary,2,FALSE)/52*1</f>
        <v>0</v>
      </c>
      <c r="G80" s="89">
        <f t="shared" si="19"/>
        <v>19865.384615384617</v>
      </c>
      <c r="H80" s="89">
        <f t="shared" si="19"/>
        <v>0</v>
      </c>
      <c r="I80" s="89">
        <f t="shared" si="19"/>
        <v>0</v>
      </c>
      <c r="J80" s="89">
        <f t="shared" si="19"/>
        <v>0</v>
      </c>
      <c r="K80" s="89">
        <f t="shared" si="19"/>
        <v>0</v>
      </c>
      <c r="L80" s="89">
        <f t="shared" si="19"/>
        <v>0</v>
      </c>
      <c r="M80" s="89">
        <f t="shared" si="19"/>
        <v>0</v>
      </c>
      <c r="N80" s="89">
        <f t="shared" si="19"/>
        <v>0</v>
      </c>
      <c r="O80" s="89">
        <f t="shared" si="10"/>
        <v>19865.384615384617</v>
      </c>
      <c r="Q80" s="1"/>
      <c r="S80" s="10"/>
    </row>
    <row r="84" spans="8:8" x14ac:dyDescent="0.2">
      <c r="H84" s="89"/>
    </row>
  </sheetData>
  <mergeCells count="39">
    <mergeCell ref="BC12:BF12"/>
    <mergeCell ref="BG12:BJ12"/>
    <mergeCell ref="BK12:BN12"/>
    <mergeCell ref="BO12:BR12"/>
    <mergeCell ref="AI12:AL12"/>
    <mergeCell ref="AM12:AP12"/>
    <mergeCell ref="AQ12:AT12"/>
    <mergeCell ref="AU12:AX12"/>
    <mergeCell ref="AY12:BB12"/>
    <mergeCell ref="B11:D12"/>
    <mergeCell ref="T11:V12"/>
    <mergeCell ref="U24:V24"/>
    <mergeCell ref="U13:V13"/>
    <mergeCell ref="U17:V17"/>
    <mergeCell ref="U18:V18"/>
    <mergeCell ref="U19:V19"/>
    <mergeCell ref="U20:V20"/>
    <mergeCell ref="U21:V21"/>
    <mergeCell ref="U14:V14"/>
    <mergeCell ref="U15:V15"/>
    <mergeCell ref="U16:V16"/>
    <mergeCell ref="U22:V22"/>
    <mergeCell ref="U23:V23"/>
    <mergeCell ref="W11:DN11"/>
    <mergeCell ref="CY12:DB12"/>
    <mergeCell ref="DC12:DF12"/>
    <mergeCell ref="DG12:DJ12"/>
    <mergeCell ref="DK12:DN12"/>
    <mergeCell ref="CE12:CH12"/>
    <mergeCell ref="CI12:CL12"/>
    <mergeCell ref="CM12:CP12"/>
    <mergeCell ref="CQ12:CT12"/>
    <mergeCell ref="CU12:CX12"/>
    <mergeCell ref="BS12:BV12"/>
    <mergeCell ref="BW12:BZ12"/>
    <mergeCell ref="CA12:CD12"/>
    <mergeCell ref="W12:Z12"/>
    <mergeCell ref="AA12:AD12"/>
    <mergeCell ref="AE12:AH12"/>
  </mergeCells>
  <phoneticPr fontId="0" type="noConversion"/>
  <printOptions horizontalCentered="1" verticalCentered="1"/>
  <pageMargins left="0.25" right="0.25" top="0.75" bottom="0.75" header="0.3" footer="0.3"/>
  <pageSetup orientation="landscape" r:id="rId1"/>
  <headerFooter alignWithMargins="0"/>
  <colBreaks count="2" manualBreakCount="2">
    <brk id="19" max="1048575" man="1"/>
    <brk id="119" max="1048575" man="1"/>
  </colBreaks>
  <drawing r:id="rId2"/>
  <legacyDrawing r:id="rId3"/>
  <controls>
    <mc:AlternateContent xmlns:mc="http://schemas.openxmlformats.org/markup-compatibility/2006">
      <mc:Choice Requires="x14">
        <control shapeId="1027" r:id="rId4" name="CommandButton1">
          <controlPr autoLine="0" r:id="rId5">
            <anchor moveWithCells="1">
              <from>
                <xdr:col>19</xdr:col>
                <xdr:colOff>95250</xdr:colOff>
                <xdr:row>1</xdr:row>
                <xdr:rowOff>0</xdr:rowOff>
              </from>
              <to>
                <xdr:col>19</xdr:col>
                <xdr:colOff>257175</xdr:colOff>
                <xdr:row>2</xdr:row>
                <xdr:rowOff>9525</xdr:rowOff>
              </to>
            </anchor>
          </controlPr>
        </control>
      </mc:Choice>
      <mc:Fallback>
        <control shapeId="102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B4"/>
  <sheetViews>
    <sheetView workbookViewId="0">
      <selection activeCell="B4" sqref="B4"/>
    </sheetView>
  </sheetViews>
  <sheetFormatPr defaultRowHeight="16.5" x14ac:dyDescent="0.3"/>
  <sheetData>
    <row r="2" spans="2:2" x14ac:dyDescent="0.3">
      <c r="B2" s="116" t="s">
        <v>69</v>
      </c>
    </row>
    <row r="3" spans="2:2" x14ac:dyDescent="0.3">
      <c r="B3" s="116" t="s">
        <v>70</v>
      </c>
    </row>
    <row r="4" spans="2:2" x14ac:dyDescent="0.3">
      <c r="B4" s="116" t="s">
        <v>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6"/>
  <sheetViews>
    <sheetView workbookViewId="0">
      <selection activeCell="C3" sqref="C3"/>
    </sheetView>
  </sheetViews>
  <sheetFormatPr defaultRowHeight="16.5" x14ac:dyDescent="0.3"/>
  <sheetData>
    <row r="1" spans="1:14" ht="23.25" x14ac:dyDescent="0.35">
      <c r="A1" s="131">
        <v>2019</v>
      </c>
    </row>
    <row r="2" spans="1:14" x14ac:dyDescent="0.3">
      <c r="A2" s="55" t="s">
        <v>36</v>
      </c>
      <c r="B2" s="14"/>
      <c r="C2" s="16"/>
      <c r="D2" s="16"/>
      <c r="E2" s="17"/>
      <c r="F2" s="17"/>
      <c r="G2" s="17"/>
      <c r="H2" s="17"/>
      <c r="I2" s="17"/>
      <c r="J2" s="17"/>
      <c r="K2" s="17"/>
      <c r="L2" s="17"/>
      <c r="M2" s="17"/>
      <c r="N2" s="61"/>
    </row>
    <row r="3" spans="1:14" x14ac:dyDescent="0.3">
      <c r="A3" s="119"/>
      <c r="B3" s="14"/>
      <c r="C3" s="63">
        <v>99</v>
      </c>
      <c r="D3" s="16"/>
      <c r="E3" s="17"/>
      <c r="F3" s="17"/>
      <c r="G3" s="17"/>
      <c r="H3" s="17"/>
      <c r="I3" s="17"/>
      <c r="J3" s="17"/>
      <c r="K3" s="17"/>
      <c r="L3" s="17"/>
      <c r="M3" s="17"/>
      <c r="N3" s="61"/>
    </row>
    <row r="4" spans="1:14" x14ac:dyDescent="0.3">
      <c r="A4" s="55" t="s">
        <v>46</v>
      </c>
      <c r="B4" s="56"/>
      <c r="C4" s="55"/>
      <c r="D4" s="55"/>
      <c r="E4" s="64"/>
      <c r="F4" s="64"/>
      <c r="G4" s="64"/>
      <c r="H4" s="64"/>
      <c r="I4" s="64"/>
      <c r="J4" s="64"/>
      <c r="K4" s="64"/>
      <c r="L4" s="64"/>
      <c r="M4" s="64"/>
      <c r="N4" s="65"/>
    </row>
    <row r="5" spans="1:14" x14ac:dyDescent="0.3">
      <c r="A5" s="55"/>
      <c r="B5" s="56"/>
      <c r="C5" s="67" t="s">
        <v>47</v>
      </c>
      <c r="D5" s="55"/>
      <c r="E5" s="64"/>
      <c r="F5" s="64"/>
      <c r="G5" s="64"/>
      <c r="H5" s="64"/>
      <c r="I5" s="64"/>
      <c r="J5" s="64"/>
      <c r="K5" s="64"/>
      <c r="L5" s="64"/>
      <c r="M5" s="64"/>
      <c r="N5" s="65"/>
    </row>
    <row r="6" spans="1:14" x14ac:dyDescent="0.3">
      <c r="A6" s="16"/>
      <c r="B6" s="17"/>
      <c r="C6" s="67"/>
      <c r="D6" s="67"/>
      <c r="E6" s="70"/>
      <c r="F6" s="70"/>
      <c r="G6" s="70"/>
      <c r="H6" s="70"/>
      <c r="I6" s="71"/>
      <c r="J6" s="70"/>
      <c r="K6" s="70"/>
      <c r="L6" s="70"/>
      <c r="M6" s="70"/>
      <c r="N6" s="72"/>
    </row>
    <row r="7" spans="1:14" x14ac:dyDescent="0.3">
      <c r="A7" s="74" t="s">
        <v>73</v>
      </c>
      <c r="B7" s="68"/>
      <c r="C7" s="75"/>
      <c r="D7" s="75"/>
      <c r="E7" s="76"/>
      <c r="F7" s="76"/>
      <c r="G7" s="70"/>
      <c r="H7" s="70"/>
      <c r="I7" s="71"/>
      <c r="J7" s="70"/>
      <c r="K7" s="70"/>
      <c r="L7" s="70"/>
      <c r="M7" s="70"/>
      <c r="N7" s="72"/>
    </row>
    <row r="8" spans="1:14" x14ac:dyDescent="0.3">
      <c r="A8" s="67"/>
      <c r="B8" s="68" t="s">
        <v>13</v>
      </c>
      <c r="C8" s="77">
        <v>95750</v>
      </c>
      <c r="D8" s="78"/>
      <c r="E8" s="79"/>
      <c r="F8" s="79"/>
      <c r="G8" s="79"/>
      <c r="H8" s="79"/>
      <c r="I8" s="79"/>
      <c r="J8" s="79"/>
      <c r="K8" s="79"/>
      <c r="L8" s="79"/>
      <c r="M8" s="80" t="s">
        <v>13</v>
      </c>
      <c r="N8" s="67">
        <f t="shared" ref="N8:N16" si="0">C8</f>
        <v>95750</v>
      </c>
    </row>
    <row r="9" spans="1:14" x14ac:dyDescent="0.3">
      <c r="A9" s="67"/>
      <c r="B9" s="68" t="s">
        <v>14</v>
      </c>
      <c r="C9" s="78">
        <v>102200</v>
      </c>
      <c r="D9" s="78"/>
      <c r="E9" s="70"/>
      <c r="F9" s="70"/>
      <c r="G9" s="70"/>
      <c r="H9" s="70"/>
      <c r="I9" s="70"/>
      <c r="J9" s="70"/>
      <c r="K9" s="70"/>
      <c r="L9" s="70"/>
      <c r="M9" s="68" t="s">
        <v>14</v>
      </c>
      <c r="N9" s="67">
        <f t="shared" si="0"/>
        <v>102200</v>
      </c>
    </row>
    <row r="10" spans="1:14" x14ac:dyDescent="0.3">
      <c r="A10" s="67"/>
      <c r="B10" s="68" t="s">
        <v>15</v>
      </c>
      <c r="C10" s="81">
        <v>73300</v>
      </c>
      <c r="D10" s="78"/>
      <c r="E10" s="70"/>
      <c r="F10" s="70"/>
      <c r="G10" s="70"/>
      <c r="H10" s="70"/>
      <c r="I10" s="70"/>
      <c r="J10" s="70"/>
      <c r="K10" s="70"/>
      <c r="L10" s="70"/>
      <c r="M10" s="68" t="s">
        <v>15</v>
      </c>
      <c r="N10" s="67">
        <f t="shared" si="0"/>
        <v>73300</v>
      </c>
    </row>
    <row r="11" spans="1:14" x14ac:dyDescent="0.3">
      <c r="A11" s="67"/>
      <c r="B11" s="68" t="s">
        <v>16</v>
      </c>
      <c r="C11" s="77">
        <v>65300</v>
      </c>
      <c r="D11" s="78"/>
      <c r="E11" s="70"/>
      <c r="F11" s="70"/>
      <c r="G11" s="70"/>
      <c r="H11" s="70"/>
      <c r="I11" s="70"/>
      <c r="J11" s="70"/>
      <c r="K11" s="70"/>
      <c r="L11" s="70"/>
      <c r="M11" s="68" t="s">
        <v>16</v>
      </c>
      <c r="N11" s="67">
        <f t="shared" si="0"/>
        <v>65300</v>
      </c>
    </row>
    <row r="12" spans="1:14" x14ac:dyDescent="0.3">
      <c r="A12" s="67"/>
      <c r="B12" s="68" t="s">
        <v>17</v>
      </c>
      <c r="C12" s="77">
        <v>59400</v>
      </c>
      <c r="D12" s="78"/>
      <c r="E12" s="70"/>
      <c r="F12" s="70"/>
      <c r="G12" s="70"/>
      <c r="H12" s="70"/>
      <c r="I12" s="70"/>
      <c r="J12" s="70"/>
      <c r="K12" s="70"/>
      <c r="L12" s="70"/>
      <c r="M12" s="68" t="s">
        <v>17</v>
      </c>
      <c r="N12" s="67">
        <f t="shared" si="0"/>
        <v>59400</v>
      </c>
    </row>
    <row r="13" spans="1:14" x14ac:dyDescent="0.3">
      <c r="A13" s="67"/>
      <c r="B13" s="68" t="s">
        <v>45</v>
      </c>
      <c r="C13" s="77">
        <v>49500</v>
      </c>
      <c r="D13" s="78"/>
      <c r="E13" s="70"/>
      <c r="F13" s="70"/>
      <c r="G13" s="70"/>
      <c r="H13" s="70"/>
      <c r="I13" s="70"/>
      <c r="J13" s="70"/>
      <c r="K13" s="70"/>
      <c r="L13" s="70"/>
      <c r="M13" s="68" t="s">
        <v>45</v>
      </c>
      <c r="N13" s="67">
        <f t="shared" si="0"/>
        <v>49500</v>
      </c>
    </row>
    <row r="14" spans="1:14" x14ac:dyDescent="0.3">
      <c r="A14" s="67"/>
      <c r="B14" s="68" t="s">
        <v>43</v>
      </c>
      <c r="C14" s="78">
        <v>0</v>
      </c>
      <c r="D14" s="78"/>
      <c r="E14" s="70"/>
      <c r="F14" s="70"/>
      <c r="G14" s="70"/>
      <c r="H14" s="70"/>
      <c r="I14" s="70"/>
      <c r="J14" s="70"/>
      <c r="K14" s="70"/>
      <c r="L14" s="70"/>
      <c r="M14" s="80" t="s">
        <v>43</v>
      </c>
      <c r="N14" s="67">
        <f t="shared" si="0"/>
        <v>0</v>
      </c>
    </row>
    <row r="15" spans="1:14" x14ac:dyDescent="0.3">
      <c r="A15" s="67"/>
      <c r="B15" s="68" t="s">
        <v>44</v>
      </c>
      <c r="C15" s="78">
        <v>0</v>
      </c>
      <c r="D15" s="78"/>
      <c r="E15" s="79"/>
      <c r="F15" s="79"/>
      <c r="G15" s="79"/>
      <c r="H15" s="79"/>
      <c r="I15" s="79"/>
      <c r="J15" s="79"/>
      <c r="K15" s="79"/>
      <c r="L15" s="79"/>
      <c r="M15" s="80" t="s">
        <v>44</v>
      </c>
      <c r="N15" s="67">
        <f t="shared" si="0"/>
        <v>0</v>
      </c>
    </row>
    <row r="16" spans="1:14" x14ac:dyDescent="0.3">
      <c r="A16" s="67"/>
      <c r="B16" s="68" t="s">
        <v>18</v>
      </c>
      <c r="C16" s="81">
        <v>26500</v>
      </c>
      <c r="D16" s="78"/>
      <c r="E16" s="79"/>
      <c r="F16" s="79"/>
      <c r="G16" s="79"/>
      <c r="H16" s="79"/>
      <c r="I16" s="79"/>
      <c r="J16" s="79"/>
      <c r="K16" s="79"/>
      <c r="L16" s="79"/>
      <c r="M16" s="80" t="s">
        <v>18</v>
      </c>
      <c r="N16" s="67">
        <f t="shared" si="0"/>
        <v>26500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40</vt:i4>
      </vt:variant>
    </vt:vector>
  </HeadingPairs>
  <TitlesOfParts>
    <vt:vector size="43" baseType="lpstr">
      <vt:lpstr>workscope_exhibits</vt:lpstr>
      <vt:lpstr>LookUps</vt:lpstr>
      <vt:lpstr>prior_salary_schedules</vt:lpstr>
      <vt:lpstr>direct_salary_cell</vt:lpstr>
      <vt:lpstr>direct_salary_column</vt:lpstr>
      <vt:lpstr>first_schedule_column</vt:lpstr>
      <vt:lpstr>funding_list_bottom</vt:lpstr>
      <vt:lpstr>funding_list_top</vt:lpstr>
      <vt:lpstr>last_schedule_column</vt:lpstr>
      <vt:lpstr>m1_column</vt:lpstr>
      <vt:lpstr>milestone_label_column</vt:lpstr>
      <vt:lpstr>milestone_list_first_row</vt:lpstr>
      <vt:lpstr>milestone_name_column</vt:lpstr>
      <vt:lpstr>odc_cell</vt:lpstr>
      <vt:lpstr>odc_consultants_line</vt:lpstr>
      <vt:lpstr>odc_dp_equipment_line</vt:lpstr>
      <vt:lpstr>odc_office_equipment_line</vt:lpstr>
      <vt:lpstr>odc_other_line</vt:lpstr>
      <vt:lpstr>odc_printing_line</vt:lpstr>
      <vt:lpstr>odc_travel_line</vt:lpstr>
      <vt:lpstr>Overhead</vt:lpstr>
      <vt:lpstr>overhead_cell</vt:lpstr>
      <vt:lpstr>overhead_column</vt:lpstr>
      <vt:lpstr>p1_column</vt:lpstr>
      <vt:lpstr>p2_column</vt:lpstr>
      <vt:lpstr>p3_column</vt:lpstr>
      <vt:lpstr>p4_column</vt:lpstr>
      <vt:lpstr>p5_column</vt:lpstr>
      <vt:lpstr>workscope_exhibits!Print_Area</vt:lpstr>
      <vt:lpstr>project_name_cell</vt:lpstr>
      <vt:lpstr>Salary</vt:lpstr>
      <vt:lpstr>sched_major_units_cell</vt:lpstr>
      <vt:lpstr>sp1_column</vt:lpstr>
      <vt:lpstr>sp3_column</vt:lpstr>
      <vt:lpstr>task_list_bottom</vt:lpstr>
      <vt:lpstr>task_list_top</vt:lpstr>
      <vt:lpstr>task_name_column</vt:lpstr>
      <vt:lpstr>task_number_column</vt:lpstr>
      <vt:lpstr>temp_column</vt:lpstr>
      <vt:lpstr>total_column</vt:lpstr>
      <vt:lpstr>total_cost_cell</vt:lpstr>
      <vt:lpstr>total_cost_column</vt:lpstr>
      <vt:lpstr>total_line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Benjamin Krepp</dc:creator>
  <cp:lastModifiedBy>dknudsen</cp:lastModifiedBy>
  <cp:lastPrinted>2018-07-30T19:00:32Z</cp:lastPrinted>
  <dcterms:created xsi:type="dcterms:W3CDTF">2002-07-30T15:31:37Z</dcterms:created>
  <dcterms:modified xsi:type="dcterms:W3CDTF">2019-08-14T15:58:20Z</dcterms:modified>
</cp:coreProperties>
</file>