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dknudsen\Desktop\GitHub\workscope-exhibit-tool\workscope-exhibit-tool\"/>
    </mc:Choice>
  </mc:AlternateContent>
  <bookViews>
    <workbookView xWindow="-15" yWindow="-15" windowWidth="15315" windowHeight="9090"/>
  </bookViews>
  <sheets>
    <sheet name="workscope_exhibits" sheetId="1" r:id="rId1"/>
    <sheet name="LookUps" sheetId="2" r:id="rId2"/>
    <sheet name="prior_salary_schedules" sheetId="3" r:id="rId3"/>
  </sheets>
  <definedNames>
    <definedName name="direct_salary_cell">workscope_exhibits!$T$107</definedName>
    <definedName name="direct_salary_column">workscope_exhibits!$Q$110</definedName>
    <definedName name="first_schedule_column">workscope_exhibits!$X$108</definedName>
    <definedName name="funding_list_bottom">workscope_exhibits!$C$140</definedName>
    <definedName name="funding_list_top">workscope_exhibits!$C$137</definedName>
    <definedName name="last_schedule_column">workscope_exhibits!$DP$108</definedName>
    <definedName name="m1_column">workscope_exhibits!$G$110</definedName>
    <definedName name="milestone_label_column">workscope_exhibits!$V$123</definedName>
    <definedName name="milestone_list_first_row">workscope_exhibits!$U$125</definedName>
    <definedName name="milestone_name_column">workscope_exhibits!$W$108</definedName>
    <definedName name="odc_cell">workscope_exhibits!$T$125</definedName>
    <definedName name="odc_consultants_line">workscope_exhibits!$C$130</definedName>
    <definedName name="odc_dp_equipment_line">workscope_exhibits!$C$129</definedName>
    <definedName name="odc_office_equipment_line">workscope_exhibits!$C$128</definedName>
    <definedName name="odc_other_line">workscope_exhibits!$C$132</definedName>
    <definedName name="odc_printing_line">workscope_exhibits!$C$131</definedName>
    <definedName name="odc_travel_line">workscope_exhibits!$C$127</definedName>
    <definedName name="Overhead">workscope_exhibits!$E$149</definedName>
    <definedName name="overhead_cell">workscope_exhibits!$R$110</definedName>
    <definedName name="overhead_column">workscope_exhibits!$R$110</definedName>
    <definedName name="p1_column">workscope_exhibits!$L$110</definedName>
    <definedName name="p2_column">workscope_exhibits!$K$110</definedName>
    <definedName name="p3_column">workscope_exhibits!$J$110</definedName>
    <definedName name="p4_column">workscope_exhibits!$I$110</definedName>
    <definedName name="p5_column">workscope_exhibits!$H$110</definedName>
    <definedName name="_xlnm.Print_Area" localSheetId="0">workscope_exhibits!$C$103:$DO$139</definedName>
    <definedName name="project_name_cell">workscope_exhibits!$C$105</definedName>
    <definedName name="Salary">workscope_exhibits!$O$154:$P$162</definedName>
    <definedName name="sched_major_units_cell">workscope_exhibits!$X$109</definedName>
    <definedName name="sp1_column">workscope_exhibits!$N$110</definedName>
    <definedName name="sp3_column">workscope_exhibits!$M$110</definedName>
    <definedName name="task_list_bottom">workscope_exhibits!$C$122</definedName>
    <definedName name="task_list_top">workscope_exhibits!$C$111</definedName>
    <definedName name="task_name_column">workscope_exhibits!$D$108</definedName>
    <definedName name="task_number_column">workscope_exhibits!$C$107</definedName>
    <definedName name="temp_column">workscope_exhibits!$O$110</definedName>
    <definedName name="total_column">workscope_exhibits!$P$110</definedName>
    <definedName name="total_cost_cell">workscope_exhibits!$T$134</definedName>
    <definedName name="total_cost_column">workscope_exhibits!$S$110</definedName>
    <definedName name="total_line">workscope_exhibits!$C$123</definedName>
  </definedNames>
  <calcPr calcId="162913"/>
</workbook>
</file>

<file path=xl/calcChain.xml><?xml version="1.0" encoding="utf-8"?>
<calcChain xmlns="http://schemas.openxmlformats.org/spreadsheetml/2006/main">
  <c r="N16" i="3" l="1"/>
  <c r="N15" i="3"/>
  <c r="N14" i="3"/>
  <c r="N13" i="3"/>
  <c r="N12" i="3"/>
  <c r="N11" i="3"/>
  <c r="N10" i="3"/>
  <c r="N9" i="3"/>
  <c r="N8" i="3"/>
  <c r="R110" i="1" l="1"/>
  <c r="C118" i="1" l="1"/>
  <c r="P118" i="1"/>
  <c r="V118" i="1"/>
  <c r="U118" i="1" l="1"/>
  <c r="P121" i="1"/>
  <c r="P120" i="1"/>
  <c r="P119" i="1"/>
  <c r="P117" i="1"/>
  <c r="P116" i="1"/>
  <c r="P115" i="1"/>
  <c r="P114" i="1"/>
  <c r="P113" i="1"/>
  <c r="P112" i="1"/>
  <c r="P155" i="1"/>
  <c r="H178" i="1" s="1"/>
  <c r="P156" i="1"/>
  <c r="I176" i="1" s="1"/>
  <c r="P157" i="1"/>
  <c r="J169" i="1" s="1"/>
  <c r="P158" i="1"/>
  <c r="K175" i="1" s="1"/>
  <c r="P159" i="1"/>
  <c r="L178" i="1" s="1"/>
  <c r="P160" i="1"/>
  <c r="M176" i="1" s="1"/>
  <c r="P161" i="1"/>
  <c r="N176" i="1" s="1"/>
  <c r="P162" i="1"/>
  <c r="O174" i="1" s="1"/>
  <c r="P154" i="1"/>
  <c r="G177" i="1" s="1"/>
  <c r="T125" i="1"/>
  <c r="K123" i="1"/>
  <c r="L123" i="1"/>
  <c r="U105" i="1"/>
  <c r="C112" i="1"/>
  <c r="U112" i="1" s="1"/>
  <c r="V112" i="1"/>
  <c r="C113" i="1"/>
  <c r="U113" i="1" s="1"/>
  <c r="V113" i="1"/>
  <c r="C114" i="1"/>
  <c r="U114" i="1" s="1"/>
  <c r="V114" i="1"/>
  <c r="C115" i="1"/>
  <c r="V115" i="1"/>
  <c r="C116" i="1"/>
  <c r="U116" i="1" s="1"/>
  <c r="V116" i="1"/>
  <c r="C117" i="1"/>
  <c r="U117" i="1" s="1"/>
  <c r="V117" i="1"/>
  <c r="C119" i="1"/>
  <c r="V119" i="1"/>
  <c r="C120" i="1"/>
  <c r="V120" i="1"/>
  <c r="C121" i="1"/>
  <c r="U121" i="1" s="1"/>
  <c r="V121" i="1"/>
  <c r="F123" i="1"/>
  <c r="G123" i="1"/>
  <c r="H123" i="1"/>
  <c r="I123" i="1"/>
  <c r="J123" i="1"/>
  <c r="M123" i="1"/>
  <c r="N123" i="1"/>
  <c r="O123" i="1"/>
  <c r="D169" i="1"/>
  <c r="D170" i="1"/>
  <c r="D171" i="1"/>
  <c r="D172" i="1"/>
  <c r="D173" i="1"/>
  <c r="D174" i="1"/>
  <c r="D175" i="1"/>
  <c r="D176" i="1"/>
  <c r="D177" i="1"/>
  <c r="D178" i="1"/>
  <c r="N175" i="1" l="1"/>
  <c r="L174" i="1"/>
  <c r="J176" i="1"/>
  <c r="N171" i="1"/>
  <c r="N177" i="1"/>
  <c r="L170" i="1"/>
  <c r="K171" i="1"/>
  <c r="H170" i="1"/>
  <c r="H171" i="1"/>
  <c r="H172" i="1"/>
  <c r="H175" i="1"/>
  <c r="L177" i="1"/>
  <c r="M169" i="1"/>
  <c r="L171" i="1"/>
  <c r="L172" i="1"/>
  <c r="H176" i="1"/>
  <c r="K177" i="1"/>
  <c r="M178" i="1"/>
  <c r="L169" i="1"/>
  <c r="I174" i="1"/>
  <c r="J170" i="1"/>
  <c r="G173" i="1"/>
  <c r="L175" i="1"/>
  <c r="O178" i="1"/>
  <c r="I178" i="1"/>
  <c r="M173" i="1"/>
  <c r="K176" i="1"/>
  <c r="H177" i="1"/>
  <c r="H169" i="1"/>
  <c r="G171" i="1"/>
  <c r="L173" i="1"/>
  <c r="J174" i="1"/>
  <c r="G175" i="1"/>
  <c r="O177" i="1"/>
  <c r="K178" i="1"/>
  <c r="G169" i="1"/>
  <c r="G170" i="1"/>
  <c r="J172" i="1"/>
  <c r="J173" i="1"/>
  <c r="N174" i="1"/>
  <c r="J175" i="1"/>
  <c r="N169" i="1"/>
  <c r="I169" i="1"/>
  <c r="I170" i="1"/>
  <c r="O171" i="1"/>
  <c r="J171" i="1"/>
  <c r="G172" i="1"/>
  <c r="N173" i="1"/>
  <c r="H173" i="1"/>
  <c r="H174" i="1"/>
  <c r="O175" i="1"/>
  <c r="I175" i="1"/>
  <c r="G176" i="1"/>
  <c r="L176" i="1"/>
  <c r="J177" i="1"/>
  <c r="G178" i="1"/>
  <c r="N178" i="1"/>
  <c r="J178" i="1"/>
  <c r="N170" i="1"/>
  <c r="N172" i="1"/>
  <c r="G174" i="1"/>
  <c r="U120" i="1"/>
  <c r="U119" i="1"/>
  <c r="O169" i="1"/>
  <c r="K169" i="1"/>
  <c r="O172" i="1"/>
  <c r="O176" i="1"/>
  <c r="M170" i="1"/>
  <c r="K172" i="1"/>
  <c r="K173" i="1"/>
  <c r="M174" i="1"/>
  <c r="K170" i="1"/>
  <c r="O170" i="1"/>
  <c r="M171" i="1"/>
  <c r="M172" i="1"/>
  <c r="O173" i="1"/>
  <c r="M177" i="1"/>
  <c r="I177" i="1"/>
  <c r="U115" i="1"/>
  <c r="I171" i="1"/>
  <c r="I172" i="1"/>
  <c r="I173" i="1"/>
  <c r="K174" i="1"/>
  <c r="M175" i="1"/>
  <c r="P123" i="1"/>
  <c r="P171" i="1" l="1"/>
  <c r="Q114" i="1" s="1"/>
  <c r="R114" i="1" s="1"/>
  <c r="S114" i="1" s="1"/>
  <c r="P176" i="1"/>
  <c r="Q119" i="1" s="1"/>
  <c r="R119" i="1" s="1"/>
  <c r="S119" i="1" s="1"/>
  <c r="P175" i="1"/>
  <c r="Q118" i="1" s="1"/>
  <c r="P177" i="1"/>
  <c r="Q120" i="1" s="1"/>
  <c r="R120" i="1" s="1"/>
  <c r="P174" i="1"/>
  <c r="Q117" i="1" s="1"/>
  <c r="R117" i="1" s="1"/>
  <c r="S117" i="1" s="1"/>
  <c r="P178" i="1"/>
  <c r="Q121" i="1" s="1"/>
  <c r="R121" i="1" s="1"/>
  <c r="S121" i="1" s="1"/>
  <c r="P169" i="1"/>
  <c r="Q112" i="1" s="1"/>
  <c r="R112" i="1" s="1"/>
  <c r="S112" i="1" s="1"/>
  <c r="P173" i="1"/>
  <c r="Q116" i="1" s="1"/>
  <c r="R116" i="1" s="1"/>
  <c r="S116" i="1" s="1"/>
  <c r="P170" i="1"/>
  <c r="Q113" i="1" s="1"/>
  <c r="R113" i="1" s="1"/>
  <c r="S113" i="1" s="1"/>
  <c r="P172" i="1"/>
  <c r="Q115" i="1" s="1"/>
  <c r="R115" i="1" s="1"/>
  <c r="S115" i="1" s="1"/>
  <c r="S120" i="1" l="1"/>
  <c r="R118" i="1"/>
  <c r="R123" i="1" s="1"/>
  <c r="Q123" i="1"/>
  <c r="S118" i="1" l="1"/>
  <c r="S123" i="1" s="1"/>
  <c r="T107" i="1" s="1"/>
  <c r="T134" i="1" s="1"/>
</calcChain>
</file>

<file path=xl/sharedStrings.xml><?xml version="1.0" encoding="utf-8"?>
<sst xmlns="http://schemas.openxmlformats.org/spreadsheetml/2006/main" count="207" uniqueCount="140">
  <si>
    <t>B.  PLACEMENT WITHIN THE WORK SCOPE MEMO</t>
  </si>
  <si>
    <t>• Put the chart and table either each on a page by itself or on a page together; don't put either of them on a page with memo text.</t>
  </si>
  <si>
    <t>• Put the chart and table pages after the text pages.</t>
  </si>
  <si>
    <t>• The chart should come before the table (even though, in this file, it happens to print after the table).</t>
  </si>
  <si>
    <t>C.  HEADERS AND PAGE NUMBERS: DON'T USE ANY</t>
  </si>
  <si>
    <t>(even though your scope's text pages will have them)</t>
  </si>
  <si>
    <t>D.  PORTRAIT ORIENTATION VS. LANDSCAPE* ORIENTATION</t>
  </si>
  <si>
    <t>• The table and chart should have the same orientation.</t>
  </si>
  <si>
    <t>A prototype table to work with is provided below.</t>
  </si>
  <si>
    <t>NOTE: The entire width of the prototype may not fit on your screen.</t>
  </si>
  <si>
    <t xml:space="preserve">A.  EACH STAFF-POSITION COLUMN SHOULD REPRESENT ALL OF THE  PROJECT STAFF WHO HAVE THAT POSITION </t>
  </si>
  <si>
    <t>B.  PERSON-WEEKS MUST ALWAYS BE USED (DON'T USE PERSON-MONTHS, PERSON-DAYS, ETC.)</t>
  </si>
  <si>
    <t>C.  ESTIMATE THE PERSON-WEEKS IN TERMS OF WORKING TIME, NOT CALENDAR TIME</t>
  </si>
  <si>
    <t>D.  ROUNDING OF PERSON-WEEKS</t>
  </si>
  <si>
    <t>Use your judgment on whether or not, for this particular work scope, you should round to the nearest whole person-week.</t>
  </si>
  <si>
    <t>Travel</t>
  </si>
  <si>
    <t>Travel should be included if there will be any project-related travel, even if the travel costs will total less than $1,000.</t>
  </si>
  <si>
    <t>(a) The total cost of equipment will be $1,000 or more.</t>
  </si>
  <si>
    <t>Consultant(s)</t>
  </si>
  <si>
    <t>Consultants should be included only if BOTH of the following conditions are met:</t>
  </si>
  <si>
    <t>(b) Consultants have been included in the CONTRACT budget, and they have been included there expressly for the project for which you are developing a work scope.</t>
  </si>
  <si>
    <t>Other (          )</t>
  </si>
  <si>
    <t>2.  After Determining Which Categories to Include</t>
  </si>
  <si>
    <t>2.  INSTRUCTIONS FOR COST TABLE</t>
  </si>
  <si>
    <t>3.  INSTRUCTIONS FOR SCHEDULE CHART</t>
  </si>
  <si>
    <t>1.  INSTRUCTIONS APPLICABLE TO BOTH THE TABLE AND THE  CHART</t>
  </si>
  <si>
    <t>A.  PLEASE DON'T CHANGE FORMAT (INCLUDING FONT) OR WORDING UNNECESSARILY</t>
  </si>
  <si>
    <t>• If your project will be three months long or longer, use whichever you think is appropriate for the particular project.</t>
  </si>
  <si>
    <t>• If your project will be less than three months long, use weeks.</t>
  </si>
  <si>
    <t>• Virtually any change to the bars you might need to make can be made by cutting and pasting pieces of bar or copying and pasting pieces of bar.</t>
  </si>
  <si>
    <t>• Note that the bars can indicate fractions of a time unit.</t>
  </si>
  <si>
    <t>E.  TASK NAMES</t>
  </si>
  <si>
    <t>Note that they automatically appear in the schedule chart when you type them in the cost table.</t>
  </si>
  <si>
    <t>F.  "PRODUCTS/MILESTONES"</t>
  </si>
  <si>
    <t>Providing this information is optional. Delete the footnote from the prototype chart if you don't want to indicate products or milestones.</t>
  </si>
  <si>
    <t>Exhibit 2</t>
  </si>
  <si>
    <t>Exhibit 1</t>
  </si>
  <si>
    <t>ESTIMATED COST</t>
  </si>
  <si>
    <t>ESTIMATED SCHEDULE</t>
  </si>
  <si>
    <t>Maroon Line Extension Ridership Forecasts</t>
  </si>
  <si>
    <t xml:space="preserve"> Direct Salary and Overhead</t>
  </si>
  <si>
    <t>Person-Weeks</t>
  </si>
  <si>
    <t xml:space="preserve">Direct </t>
  </si>
  <si>
    <t xml:space="preserve">Overhead </t>
  </si>
  <si>
    <t xml:space="preserve">Total </t>
  </si>
  <si>
    <t>Task</t>
  </si>
  <si>
    <t>M-1</t>
  </si>
  <si>
    <t>P-5</t>
  </si>
  <si>
    <t>P-4</t>
  </si>
  <si>
    <t>P-3</t>
  </si>
  <si>
    <t>P-2</t>
  </si>
  <si>
    <t>Temp</t>
  </si>
  <si>
    <t xml:space="preserve">Salary </t>
  </si>
  <si>
    <t xml:space="preserve">Cost </t>
  </si>
  <si>
    <t>Develop Model</t>
  </si>
  <si>
    <t>A</t>
  </si>
  <si>
    <t>Task Name</t>
  </si>
  <si>
    <t>B</t>
  </si>
  <si>
    <t>C</t>
  </si>
  <si>
    <t>Total</t>
  </si>
  <si>
    <t>Products/Milestones</t>
  </si>
  <si>
    <t xml:space="preserve"> Other Direct Costs</t>
  </si>
  <si>
    <t>Other (NOTE TO WRITER: SPECIFY IN PARENTHESES WHAT'S INCLUDED; SEE INSTRUCTIONS)</t>
  </si>
  <si>
    <t xml:space="preserve"> TOTAL COST</t>
  </si>
  <si>
    <t xml:space="preserve">THE TABLE ENDS WITH THE FUNDING INFORMATION ABOVE. </t>
  </si>
  <si>
    <t>CONCERNING THE MATERIALS BELOW:</t>
  </si>
  <si>
    <t xml:space="preserve">Don't alter them unless you "know what you're doing" (the spreadsheet program uses some of them). </t>
  </si>
  <si>
    <t>You don't need to do anything with them or even look at them. Some of the information may be useful</t>
  </si>
  <si>
    <t>or interesting, however.</t>
  </si>
  <si>
    <t>Overhead Percentage</t>
  </si>
  <si>
    <t>The Spreadsheet Program's Working Table for Salary Costs</t>
  </si>
  <si>
    <t>Develop Alt's</t>
  </si>
  <si>
    <t>Analyze Alt's</t>
  </si>
  <si>
    <t>E. THE ONLY NUMBERS IN THE TABLE THAT YOU NEED TO TYPE IN—WITH ONE POSSIBLE EXCEPTION— ARE . . .</t>
  </si>
  <si>
    <t>F. TEMPS: IF YOU ENTER ANY PERSON-WEEKS IN THE "TEMP" COLUMN:</t>
  </si>
  <si>
    <t>H.  THE "OTHER DIRECT COSTS" SECTION OF THE TABLE</t>
  </si>
  <si>
    <t>1.  Determining Which Cost Categories (If Any) to Include in This Section</t>
  </si>
  <si>
    <t xml:space="preserve"> </t>
  </si>
  <si>
    <t>General office equipment</t>
  </si>
  <si>
    <t>Data processing equipment</t>
  </si>
  <si>
    <t>General office equipment should be included only if BOTH of the following conditions are met:</t>
  </si>
  <si>
    <t>Data processing equipment should be included only if BOTH of the following conditions are met:</t>
  </si>
  <si>
    <t xml:space="preserve">(b) The individual category (for example, postage) has been included in the CONTRACT budget, and it has been included there expressly for the project for which you are developing a work scope. </t>
  </si>
  <si>
    <t>• Because the prototype table lists all six of the possible categories, you must delete any that shouldn't be included in your table.</t>
  </si>
  <si>
    <t>Consultants</t>
  </si>
  <si>
    <t>(a) The total cost of consultants will be $1,000 or more.</t>
  </si>
  <si>
    <t>Printing</t>
  </si>
  <si>
    <t>• If ONLY the "Other" category will appear in your table: Instead of designating it, for example, "Other (postage and office supplies)," designate it "Postage and office supplies."</t>
  </si>
  <si>
    <t>All eligible categories not covered by the five preceding categories go here. Specify in parentheses after "Other" the categories that you include here, such as postage or office supplies. To be eligible, a category must meet BOTH of the following conditions:</t>
  </si>
  <si>
    <t>• If none of the possible categories applies to your project, delete all six, leaving only the heading, "Other Direct Costs" (a zero will appear opposite it automatically).</t>
  </si>
  <si>
    <t>(a) The cost of the INDIVIDUAL category will be $1,000 or more (meaning the cost of, for example, postage, not the total cost of "Other"). NOTE: All costs under $1,000 are covered by overhead (except travel and sometimes printing).</t>
  </si>
  <si>
    <t>Please consult Robin Mannion if you think printing costs should be included in your table. In order for them to be eligible to be included, they need to have been included in the CONTRACT budget  -- and to have been included there expressly for the project for which you are developing a work scope. Printing costs MAY be eligible for inclusion in this table even if they total less than $1,000. Again, please consult Robin before putting printing costs in your table.</t>
  </si>
  <si>
    <t>SP-3</t>
  </si>
  <si>
    <t>SP-1</t>
  </si>
  <si>
    <t xml:space="preserve">For example, if two P-3s will work on the project, combine their person-wks in the P-3 column; don't give each of them his or her own column.   </t>
  </si>
  <si>
    <t>P-1</t>
  </si>
  <si>
    <t>Mileage Reimbursement Rates</t>
  </si>
  <si>
    <t>For the rate(s) to use for your project, consult the Deputy Director for Administration.</t>
  </si>
  <si>
    <t xml:space="preserve">MPO Planning Contract #XXXXX </t>
  </si>
  <si>
    <t>Funding [WRITER: REPEAT INFO FROM PAGE 1 OF MEMO, IN LIST FORM, AS IN EXAMPLE BELOW]</t>
  </si>
  <si>
    <t>MPO §5303 Planning Contract #XXXXX</t>
  </si>
  <si>
    <t>DO NOT DELETE OR CHANGE THIS LINE</t>
  </si>
  <si>
    <t>DO NOTE DELETE OR CHANGE THIS LINE</t>
  </si>
  <si>
    <t>Do first thing</t>
  </si>
  <si>
    <t>Do third thing</t>
  </si>
  <si>
    <t>Do fourth thing</t>
  </si>
  <si>
    <t>Do fifth thing</t>
  </si>
  <si>
    <t>Do sixth thing</t>
  </si>
  <si>
    <t>Do seventh thing</t>
  </si>
  <si>
    <t>Do eighth thing</t>
  </si>
  <si>
    <t>Do ninth thing</t>
  </si>
  <si>
    <t>Do tenth thing</t>
  </si>
  <si>
    <t>Do second thing</t>
  </si>
  <si>
    <t>A:</t>
  </si>
  <si>
    <t>B:</t>
  </si>
  <si>
    <t>C:</t>
  </si>
  <si>
    <t>Technical memorandum no. 3</t>
  </si>
  <si>
    <t>Technical memorandum no. 1</t>
  </si>
  <si>
    <t>Technical memorandum no. 2</t>
  </si>
  <si>
    <t>Quarter</t>
  </si>
  <si>
    <t>Month</t>
  </si>
  <si>
    <t>Week</t>
  </si>
  <si>
    <t>Change the Period of the Estimated Schedule</t>
  </si>
  <si>
    <t>So that CTPS's work scopes won't contain unnecessary inconsistencies, please don't change the sample table or chart more than is necessary to make it work for your project. Please leave the format (all aspects of appearance) and wording as much the same as possible. The font used in the table and chart prototypes is Arial Narrow; please don't change it.</t>
  </si>
  <si>
    <t>• Portrait is preferable to landscape, if both the table and the chart can be portrait. BUT please don't alter the spacing of the table or chart for the purpose of altering their size or proportions. Simply remove the columns and rows that don't apply to your project, and otherwise leave the format as is.</t>
  </si>
  <si>
    <t>For example, if you estimate that a worker will need to spend 50 work days working full-time on the project, count that as 10 person-weeks (even though, despite working full-time on the project, it will probably take the worker more than 10 calendar weeks to complete the work, because of holidays, etc.).</t>
  </si>
  <si>
    <t>. . . the person-weeks in the staff-position columns and the direct-cost amounts (if any; see instructions under "H," below). The possible exception is explained under “F,” below. All the other numbers will be calculated automatically; our current salaries and overhead rate are built into the table.</t>
  </si>
  <si>
    <t>The salary for temps that is built into the table assumes certain $/hr. &amp; hrs./wk. Those figures may be found in the materials located BELOW the template of the cost table. If the temp(s) working on your project will have a different pay rate and/or you're assuming that a different number of hrs./wk. make up the person-weeks you're entering in the "Temp" column of the table, please change those figures where they appear below the table. If you’re not sure what pay rate your temps will have, consult a director.</t>
  </si>
  <si>
    <t>(b) General office equipment has been included in the CONTRACT budget, and it has been included there expressly for the project for which you are developing a work scope. (Most of the general office equipment in contract budgets is for all of the projects funded by the contract and should not appear in an individual project's work scope.)</t>
  </si>
  <si>
    <t>(b) Data processing equipment has been included in the CONTRACT budget, and it has been included there expressly for the project for which you are developing a work scope. (Most of the data processing equipment in contract budgets is for all of the projects funded by the contract should not appear in an individual project's work scope.)</t>
  </si>
  <si>
    <t>A.  CHOOSE A TIME UNIT FOR THE SCHEDULE CHART</t>
  </si>
  <si>
    <t>Click the button labelled "Change the Period of the Estimated Schedule."</t>
  </si>
  <si>
    <t>B.  REMOVE THE TASK ROWS AND TIME-UNIT COLUMNS YOU DON'T NEED</t>
  </si>
  <si>
    <t xml:space="preserve">C.  MAKE EACH BAR IN THE CHART THE APPROPRIATE LENGTH </t>
  </si>
  <si>
    <t>Only the six cost categories listed below may appear in this section of the table, and only those of the six that are eligible in the case of your particular project should be included in your table. Please use the instructions given below to determine which, if any, of the six you should include. Any you include should be designated in your table by the terms used below [Travel, General office equipment, Data processing equipment, Consultant(s), Printing, Other (    )]. Consult a director for help with this table. If you will not have costs in any of the categories listed, enter "0" for the cost; the line will be automatically omitted in the generated chart. Do NOT delete the lines that do not apply to you.</t>
  </si>
  <si>
    <t>Salaries for FY 2019</t>
  </si>
  <si>
    <t>Printing (NOTE TO WRITER: CONSULT A DIRECTOR BEFORE INCLUDING PRINTING COSTS)</t>
  </si>
  <si>
    <t xml:space="preserve">G.  REMOVE THE ROWS YOU DON'T NEED FOR TASKS. </t>
  </si>
  <si>
    <t>(It will probably be easiest to do this after you've finished the rest of your work on the table.) Do NOT remove columns for staff positions that don't apply: simply ensure that those columns are filled with zeros.</t>
  </si>
  <si>
    <t>Salaries for FY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</si>
</sst>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quot;$&quot;#,##0_);\(&quot;$&quot;#,##0\)"/>
    <numFmt numFmtId="165" formatCode="_(&quot;$&quot;* #,##0_);_(&quot;$&quot;* \(#,##0\);_(&quot;$&quot;* &quot;-&quot;_);_(@_)"/>
    <numFmt numFmtId="166" formatCode="0.0"/>
    <numFmt numFmtId="167" formatCode="&quot;$&quot;#,##0"/>
    <numFmt numFmtId="168" formatCode="0.0\ "/>
    <numFmt numFmtId="169" formatCode="&quot;$&quot;#,##0\ "/>
  </numFmts>
  <fonts count="15" x14ac:knownFonts="1">
    <font>
      <sz val="11"/>
      <name val="Arial Narrow"/>
    </font>
    <font>
      <b/>
      <sz val="10"/>
      <name val="Arial"/>
      <family val="2"/>
    </font>
    <font>
      <sz val="10"/>
      <name val="Arial Narrow"/>
      <family val="2"/>
    </font>
    <font>
      <sz val="10"/>
      <name val="Arial"/>
      <family val="2"/>
    </font>
    <font>
      <b/>
      <u/>
      <sz val="10"/>
      <name val="Arial"/>
      <family val="2"/>
    </font>
    <font>
      <b/>
      <sz val="10"/>
      <name val="Arial Narrow"/>
      <family val="2"/>
    </font>
    <font>
      <b/>
      <i/>
      <sz val="10"/>
      <name val="Arial Narrow"/>
      <family val="2"/>
    </font>
    <font>
      <i/>
      <sz val="10"/>
      <name val="Arial Narrow"/>
      <family val="2"/>
    </font>
    <font>
      <i/>
      <sz val="10"/>
      <name val="Arial Narrow"/>
      <family val="2"/>
    </font>
    <font>
      <b/>
      <sz val="10"/>
      <name val="Arial Narrow"/>
      <family val="2"/>
    </font>
    <font>
      <sz val="10"/>
      <color theme="1"/>
      <name val="Arial"/>
      <family val="2"/>
    </font>
    <font>
      <sz val="10"/>
      <color theme="1"/>
      <name val="Arial Narrow"/>
      <family val="2"/>
    </font>
    <font>
      <b/>
      <sz val="10"/>
      <color theme="1"/>
      <name val="Arial Narrow"/>
      <family val="2"/>
    </font>
    <font>
      <sz val="11"/>
      <name val="Arial Narrow"/>
      <family val="2"/>
    </font>
    <font>
      <b/>
      <sz val="18"/>
      <name val="Arial Narrow"/>
      <family val="2"/>
    </font>
  </fonts>
  <fills count="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13"/>
        <bgColor indexed="64"/>
      </patternFill>
    </fill>
  </fills>
  <borders count="22">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8"/>
      </right>
      <top/>
      <bottom/>
      <diagonal/>
    </border>
    <border>
      <left style="thin">
        <color auto="1"/>
      </left>
      <right style="thin">
        <color indexed="64"/>
      </right>
      <top style="thin">
        <color indexed="64"/>
      </top>
      <bottom style="thin">
        <color indexed="64"/>
      </bottom>
      <diagonal/>
    </border>
    <border>
      <left/>
      <right/>
      <top/>
      <bottom style="thin">
        <color auto="1"/>
      </bottom>
      <diagonal/>
    </border>
    <border>
      <left style="thin">
        <color indexed="64"/>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indexed="64"/>
      </right>
      <top style="thin">
        <color indexed="64"/>
      </top>
      <bottom style="thin">
        <color indexed="64"/>
      </bottom>
      <diagonal/>
    </border>
  </borders>
  <cellStyleXfs count="1">
    <xf numFmtId="0" fontId="0" fillId="0" borderId="0"/>
  </cellStyleXfs>
  <cellXfs count="155">
    <xf numFmtId="0" fontId="0" fillId="0" borderId="0" xfId="0"/>
    <xf numFmtId="0" fontId="1" fillId="0" borderId="0" xfId="0" applyFont="1" applyAlignment="1">
      <alignment horizontal="left" vertical="top"/>
    </xf>
    <xf numFmtId="0" fontId="2" fillId="0" borderId="0" xfId="0" applyFont="1"/>
    <xf numFmtId="0" fontId="1" fillId="0" borderId="0" xfId="0" applyFont="1"/>
    <xf numFmtId="0" fontId="1" fillId="0" borderId="0" xfId="0" applyFont="1" applyAlignment="1"/>
    <xf numFmtId="0" fontId="1" fillId="0" borderId="0" xfId="0" applyFont="1" applyProtection="1">
      <protection locked="0"/>
    </xf>
    <xf numFmtId="0" fontId="3" fillId="0" borderId="0" xfId="0" applyFont="1" applyAlignment="1"/>
    <xf numFmtId="0" fontId="3" fillId="0" borderId="0" xfId="0" applyFont="1" applyAlignment="1">
      <alignment horizontal="left" vertical="top" wrapText="1"/>
    </xf>
    <xf numFmtId="0" fontId="3" fillId="0" borderId="0" xfId="0" applyFont="1"/>
    <xf numFmtId="0" fontId="3" fillId="0" borderId="0" xfId="0" applyFont="1" applyProtection="1">
      <protection locked="0"/>
    </xf>
    <xf numFmtId="0" fontId="1" fillId="0" borderId="0" xfId="0" applyFont="1" applyAlignment="1">
      <alignment horizontal="left" vertical="top" wrapText="1"/>
    </xf>
    <xf numFmtId="0" fontId="4" fillId="0" borderId="0" xfId="0" applyFont="1" applyAlignment="1"/>
    <xf numFmtId="0" fontId="4" fillId="0" borderId="0" xfId="0" applyFont="1" applyAlignment="1">
      <alignment horizontal="left" vertical="top" wrapText="1"/>
    </xf>
    <xf numFmtId="0" fontId="4" fillId="0" borderId="0" xfId="0" applyFont="1"/>
    <xf numFmtId="0" fontId="4" fillId="0" borderId="0" xfId="0" applyFont="1" applyProtection="1">
      <protection locked="0"/>
    </xf>
    <xf numFmtId="0" fontId="2" fillId="0" borderId="0" xfId="0" applyFont="1" applyAlignment="1"/>
    <xf numFmtId="0" fontId="2" fillId="0" borderId="0" xfId="0" applyFont="1" applyAlignment="1">
      <alignment horizontal="left" vertical="top" wrapText="1"/>
    </xf>
    <xf numFmtId="0" fontId="2" fillId="0" borderId="0" xfId="0" applyFont="1" applyProtection="1">
      <protection locked="0"/>
    </xf>
    <xf numFmtId="0" fontId="5" fillId="0" borderId="0" xfId="0" applyFont="1"/>
    <xf numFmtId="0" fontId="2" fillId="0" borderId="0" xfId="0" applyFont="1" applyBorder="1" applyAlignment="1"/>
    <xf numFmtId="0" fontId="2" fillId="0" borderId="0" xfId="0" applyFont="1" applyBorder="1" applyAlignment="1">
      <alignment horizontal="left" vertical="top" wrapText="1"/>
    </xf>
    <xf numFmtId="0" fontId="2" fillId="0" borderId="0" xfId="0" applyFont="1" applyBorder="1"/>
    <xf numFmtId="0" fontId="2" fillId="0" borderId="0" xfId="0" applyFont="1" applyBorder="1" applyProtection="1">
      <protection locked="0"/>
    </xf>
    <xf numFmtId="0" fontId="5" fillId="0" borderId="0" xfId="0" applyFont="1" applyAlignment="1"/>
    <xf numFmtId="0" fontId="5" fillId="0" borderId="0" xfId="0" applyFont="1" applyAlignment="1">
      <alignment horizontal="left" vertical="top" wrapText="1"/>
    </xf>
    <xf numFmtId="0" fontId="5" fillId="1" borderId="1" xfId="0" applyFont="1" applyFill="1" applyBorder="1"/>
    <xf numFmtId="0" fontId="2" fillId="1" borderId="2" xfId="0" applyFont="1" applyFill="1" applyBorder="1" applyAlignment="1"/>
    <xf numFmtId="0" fontId="2" fillId="1" borderId="2" xfId="0" applyFont="1" applyFill="1" applyBorder="1"/>
    <xf numFmtId="0" fontId="2" fillId="1" borderId="2" xfId="0" applyFont="1" applyFill="1" applyBorder="1" applyProtection="1">
      <protection locked="0"/>
    </xf>
    <xf numFmtId="169" fontId="5" fillId="1" borderId="3" xfId="0" applyNumberFormat="1" applyFont="1" applyFill="1" applyBorder="1" applyAlignment="1"/>
    <xf numFmtId="169" fontId="5" fillId="0" borderId="0" xfId="0" applyNumberFormat="1" applyFont="1" applyAlignment="1"/>
    <xf numFmtId="0" fontId="2" fillId="0" borderId="4" xfId="0" applyFont="1" applyBorder="1" applyAlignment="1" applyProtection="1">
      <alignment horizontal="centerContinuous"/>
      <protection locked="0"/>
    </xf>
    <xf numFmtId="0" fontId="2" fillId="0" borderId="5" xfId="0" applyFont="1" applyBorder="1" applyAlignment="1" applyProtection="1">
      <alignment horizontal="centerContinuous"/>
      <protection locked="0"/>
    </xf>
    <xf numFmtId="0" fontId="2" fillId="0" borderId="6" xfId="0" applyFont="1" applyBorder="1" applyAlignment="1" applyProtection="1">
      <alignment horizontal="centerContinuous"/>
      <protection locked="0"/>
    </xf>
    <xf numFmtId="0" fontId="2" fillId="0" borderId="7" xfId="0" applyFont="1" applyBorder="1" applyAlignment="1">
      <alignment horizontal="right"/>
    </xf>
    <xf numFmtId="0" fontId="2" fillId="0" borderId="6" xfId="0" applyFont="1" applyBorder="1" applyAlignment="1">
      <alignment horizontal="right"/>
    </xf>
    <xf numFmtId="169" fontId="2" fillId="0" borderId="0" xfId="0" applyNumberFormat="1" applyFont="1" applyAlignment="1">
      <alignment horizontal="right"/>
    </xf>
    <xf numFmtId="0" fontId="2" fillId="0" borderId="4" xfId="0" applyFont="1" applyBorder="1"/>
    <xf numFmtId="0" fontId="2" fillId="0" borderId="2" xfId="0" applyFont="1" applyBorder="1" applyAlignment="1" applyProtection="1">
      <alignment horizontal="right"/>
      <protection locked="0"/>
    </xf>
    <xf numFmtId="0" fontId="2" fillId="0" borderId="3" xfId="0" applyFont="1" applyBorder="1" applyAlignment="1" applyProtection="1">
      <alignment horizontal="right"/>
      <protection locked="0"/>
    </xf>
    <xf numFmtId="0" fontId="2" fillId="0" borderId="10" xfId="0" applyFont="1" applyBorder="1" applyAlignment="1">
      <alignment horizontal="right"/>
    </xf>
    <xf numFmtId="1" fontId="2" fillId="0" borderId="11" xfId="0" applyNumberFormat="1" applyFont="1" applyBorder="1" applyAlignment="1">
      <alignment horizontal="right"/>
    </xf>
    <xf numFmtId="9" fontId="2" fillId="0" borderId="12" xfId="0" applyNumberFormat="1" applyFont="1" applyBorder="1" applyAlignment="1">
      <alignment horizontal="right"/>
    </xf>
    <xf numFmtId="169" fontId="2" fillId="0" borderId="0" xfId="0" applyNumberFormat="1" applyFont="1" applyAlignment="1"/>
    <xf numFmtId="166" fontId="2" fillId="0" borderId="0" xfId="0" applyNumberFormat="1" applyFont="1" applyProtection="1">
      <protection locked="0"/>
    </xf>
    <xf numFmtId="169" fontId="2" fillId="0" borderId="0" xfId="0" applyNumberFormat="1" applyFont="1"/>
    <xf numFmtId="0" fontId="2" fillId="1" borderId="13" xfId="0" applyFont="1" applyFill="1" applyBorder="1"/>
    <xf numFmtId="0" fontId="2" fillId="1" borderId="14" xfId="0" applyFont="1" applyFill="1" applyBorder="1"/>
    <xf numFmtId="0" fontId="2" fillId="1" borderId="15" xfId="0" applyFont="1" applyFill="1" applyBorder="1"/>
    <xf numFmtId="166" fontId="2" fillId="0" borderId="0" xfId="0" applyNumberFormat="1" applyFont="1" applyBorder="1" applyProtection="1">
      <protection locked="0"/>
    </xf>
    <xf numFmtId="168" fontId="2" fillId="0" borderId="0" xfId="0" applyNumberFormat="1" applyFont="1" applyBorder="1" applyProtection="1">
      <protection locked="0"/>
    </xf>
    <xf numFmtId="169" fontId="2" fillId="0" borderId="0" xfId="0" applyNumberFormat="1" applyFont="1" applyBorder="1"/>
    <xf numFmtId="169" fontId="2" fillId="0" borderId="0" xfId="0" applyNumberFormat="1" applyFont="1" applyBorder="1" applyAlignment="1"/>
    <xf numFmtId="167" fontId="2" fillId="0" borderId="0" xfId="0" applyNumberFormat="1" applyFont="1" applyBorder="1"/>
    <xf numFmtId="167" fontId="2" fillId="1" borderId="2" xfId="0" applyNumberFormat="1" applyFont="1" applyFill="1" applyBorder="1"/>
    <xf numFmtId="169" fontId="2" fillId="1" borderId="2" xfId="0" applyNumberFormat="1" applyFont="1" applyFill="1" applyBorder="1" applyAlignment="1"/>
    <xf numFmtId="167" fontId="2" fillId="0" borderId="0" xfId="0" applyNumberFormat="1" applyFont="1"/>
    <xf numFmtId="167" fontId="2" fillId="0" borderId="0" xfId="0" applyNumberFormat="1" applyFont="1" applyAlignment="1"/>
    <xf numFmtId="0" fontId="5" fillId="1" borderId="2" xfId="0" applyFont="1" applyFill="1" applyBorder="1" applyAlignment="1"/>
    <xf numFmtId="167" fontId="2" fillId="1" borderId="2" xfId="0" applyNumberFormat="1" applyFont="1" applyFill="1" applyBorder="1" applyAlignment="1"/>
    <xf numFmtId="0" fontId="5" fillId="0" borderId="0" xfId="0" applyFont="1" applyBorder="1"/>
    <xf numFmtId="0" fontId="5" fillId="0" borderId="0" xfId="0" applyFont="1" applyBorder="1" applyAlignment="1"/>
    <xf numFmtId="167" fontId="2" fillId="0" borderId="0" xfId="0" applyNumberFormat="1" applyFont="1" applyBorder="1" applyAlignment="1"/>
    <xf numFmtId="169" fontId="5" fillId="0" borderId="0" xfId="0" applyNumberFormat="1" applyFont="1" applyBorder="1" applyAlignment="1"/>
    <xf numFmtId="0" fontId="6" fillId="0" borderId="0" xfId="0" applyFont="1" applyBorder="1"/>
    <xf numFmtId="0" fontId="7" fillId="0" borderId="0" xfId="0" applyFont="1" applyBorder="1" applyAlignment="1"/>
    <xf numFmtId="164" fontId="2" fillId="0" borderId="0" xfId="0" applyNumberFormat="1" applyFont="1" applyBorder="1"/>
    <xf numFmtId="164" fontId="2" fillId="0" borderId="0" xfId="0" applyNumberFormat="1" applyFont="1" applyBorder="1" applyAlignment="1"/>
    <xf numFmtId="2" fontId="2" fillId="0" borderId="0" xfId="0" applyNumberFormat="1" applyFont="1" applyBorder="1" applyAlignment="1">
      <alignment horizontal="left"/>
    </xf>
    <xf numFmtId="0" fontId="5" fillId="0" borderId="0" xfId="0" applyFont="1" applyBorder="1" applyProtection="1">
      <protection locked="0"/>
    </xf>
    <xf numFmtId="164" fontId="5" fillId="0" borderId="0" xfId="0" applyNumberFormat="1" applyFont="1" applyBorder="1"/>
    <xf numFmtId="164" fontId="5" fillId="0" borderId="0" xfId="0" applyNumberFormat="1" applyFont="1" applyBorder="1" applyAlignment="1"/>
    <xf numFmtId="0" fontId="2" fillId="0" borderId="0" xfId="0" applyFont="1" applyProtection="1">
      <protection hidden="1"/>
    </xf>
    <xf numFmtId="0" fontId="2" fillId="0" borderId="0" xfId="0" applyFont="1" applyAlignment="1" applyProtection="1">
      <protection hidden="1"/>
    </xf>
    <xf numFmtId="0" fontId="2" fillId="0" borderId="0" xfId="0" applyFont="1" applyAlignment="1" applyProtection="1">
      <alignment horizontal="left" vertical="top" wrapText="1"/>
      <protection hidden="1"/>
    </xf>
    <xf numFmtId="0" fontId="2" fillId="0" borderId="0" xfId="0" applyFont="1" applyBorder="1" applyProtection="1">
      <protection locked="0" hidden="1"/>
    </xf>
    <xf numFmtId="0" fontId="2" fillId="0" borderId="0" xfId="0" applyFont="1" applyBorder="1" applyProtection="1">
      <protection hidden="1"/>
    </xf>
    <xf numFmtId="164" fontId="2" fillId="0" borderId="0" xfId="0" applyNumberFormat="1" applyFont="1" applyBorder="1" applyProtection="1">
      <protection hidden="1"/>
    </xf>
    <xf numFmtId="164" fontId="2" fillId="0" borderId="0" xfId="0" applyNumberFormat="1" applyFont="1" applyBorder="1" applyAlignment="1" applyProtection="1">
      <protection hidden="1"/>
    </xf>
    <xf numFmtId="0" fontId="5" fillId="0" borderId="0" xfId="0" applyFont="1" applyProtection="1">
      <protection hidden="1"/>
    </xf>
    <xf numFmtId="0" fontId="2" fillId="0" borderId="0" xfId="0" applyFont="1" applyAlignment="1" applyProtection="1">
      <alignment horizontal="right"/>
      <protection hidden="1"/>
    </xf>
    <xf numFmtId="0" fontId="2" fillId="0" borderId="0" xfId="0" applyFont="1" applyBorder="1" applyAlignment="1" applyProtection="1">
      <alignment horizontal="right"/>
      <protection locked="0" hidden="1"/>
    </xf>
    <xf numFmtId="0" fontId="2" fillId="0" borderId="0" xfId="0" applyNumberFormat="1" applyFont="1" applyAlignment="1" applyProtection="1">
      <alignment horizontal="center"/>
      <protection hidden="1"/>
    </xf>
    <xf numFmtId="0" fontId="2" fillId="0" borderId="0" xfId="0" applyFont="1" applyAlignment="1" applyProtection="1">
      <alignment horizontal="center"/>
      <protection hidden="1"/>
    </xf>
    <xf numFmtId="0" fontId="2" fillId="0" borderId="0" xfId="0" applyFont="1" applyProtection="1">
      <protection locked="0" hidden="1"/>
    </xf>
    <xf numFmtId="0" fontId="2" fillId="0" borderId="0" xfId="0" applyFont="1" applyAlignment="1" applyProtection="1">
      <protection locked="0" hidden="1"/>
    </xf>
    <xf numFmtId="1" fontId="2" fillId="0" borderId="0" xfId="0" applyNumberFormat="1" applyFont="1" applyAlignment="1" applyProtection="1">
      <alignment horizontal="center"/>
      <protection hidden="1"/>
    </xf>
    <xf numFmtId="0" fontId="5" fillId="0" borderId="0" xfId="0" applyFont="1" applyProtection="1">
      <protection locked="0"/>
    </xf>
    <xf numFmtId="0" fontId="2" fillId="0" borderId="0" xfId="0" applyFont="1" applyBorder="1" applyAlignment="1" applyProtection="1">
      <alignment horizontal="centerContinuous"/>
      <protection locked="0"/>
    </xf>
    <xf numFmtId="0" fontId="2" fillId="0" borderId="0" xfId="0" applyFont="1" applyAlignment="1">
      <alignment horizontal="right"/>
    </xf>
    <xf numFmtId="166" fontId="2" fillId="0" borderId="0" xfId="0" applyNumberFormat="1" applyFont="1"/>
    <xf numFmtId="166" fontId="2" fillId="0" borderId="0" xfId="0" applyNumberFormat="1" applyFont="1" applyBorder="1"/>
    <xf numFmtId="169" fontId="5" fillId="1" borderId="2" xfId="0" applyNumberFormat="1" applyFont="1" applyFill="1" applyBorder="1" applyAlignment="1"/>
    <xf numFmtId="3" fontId="2" fillId="0" borderId="0" xfId="0" applyNumberFormat="1" applyFont="1"/>
    <xf numFmtId="165" fontId="2" fillId="0" borderId="0" xfId="0" applyNumberFormat="1" applyFont="1" applyProtection="1">
      <protection locked="0"/>
    </xf>
    <xf numFmtId="0" fontId="8" fillId="0" borderId="0" xfId="0" applyFont="1" applyBorder="1" applyAlignment="1"/>
    <xf numFmtId="0" fontId="9" fillId="2" borderId="0" xfId="0" applyFont="1" applyFill="1" applyAlignment="1"/>
    <xf numFmtId="0" fontId="2" fillId="2" borderId="0" xfId="0" applyFont="1" applyFill="1"/>
    <xf numFmtId="0" fontId="2" fillId="2" borderId="0" xfId="0" applyFont="1" applyFill="1" applyProtection="1">
      <protection locked="0"/>
    </xf>
    <xf numFmtId="0" fontId="2" fillId="2" borderId="0" xfId="0" applyFont="1" applyFill="1" applyAlignment="1"/>
    <xf numFmtId="169" fontId="2" fillId="2" borderId="0" xfId="0" applyNumberFormat="1" applyFont="1" applyFill="1" applyAlignment="1"/>
    <xf numFmtId="0" fontId="2" fillId="2" borderId="0" xfId="0" applyFont="1" applyFill="1" applyBorder="1"/>
    <xf numFmtId="0" fontId="9" fillId="2" borderId="0" xfId="0" applyFont="1" applyFill="1"/>
    <xf numFmtId="166" fontId="9" fillId="2" borderId="0" xfId="0" applyNumberFormat="1" applyFont="1" applyFill="1" applyProtection="1">
      <protection locked="0"/>
    </xf>
    <xf numFmtId="168" fontId="9" fillId="2" borderId="0" xfId="0" applyNumberFormat="1" applyFont="1" applyFill="1" applyProtection="1">
      <protection locked="0"/>
    </xf>
    <xf numFmtId="166" fontId="9" fillId="2" borderId="0" xfId="0" applyNumberFormat="1" applyFont="1" applyFill="1"/>
    <xf numFmtId="169" fontId="9" fillId="2" borderId="0" xfId="0" applyNumberFormat="1" applyFont="1" applyFill="1"/>
    <xf numFmtId="169" fontId="9" fillId="2" borderId="0" xfId="0" applyNumberFormat="1" applyFont="1" applyFill="1" applyAlignment="1"/>
    <xf numFmtId="0" fontId="9" fillId="2" borderId="0" xfId="0" applyFont="1" applyFill="1" applyBorder="1"/>
    <xf numFmtId="0" fontId="5" fillId="2" borderId="0" xfId="0" applyFont="1" applyFill="1" applyBorder="1" applyAlignment="1"/>
    <xf numFmtId="0" fontId="2" fillId="2" borderId="0" xfId="0" applyFont="1" applyFill="1" applyBorder="1" applyProtection="1">
      <protection locked="0"/>
    </xf>
    <xf numFmtId="167" fontId="2" fillId="2" borderId="0" xfId="0" applyNumberFormat="1" applyFont="1" applyFill="1" applyBorder="1"/>
    <xf numFmtId="167" fontId="2" fillId="2" borderId="0" xfId="0" applyNumberFormat="1" applyFont="1" applyFill="1" applyBorder="1" applyAlignment="1"/>
    <xf numFmtId="169" fontId="5" fillId="2" borderId="0" xfId="0" applyNumberFormat="1" applyFont="1" applyFill="1" applyBorder="1" applyAlignment="1"/>
    <xf numFmtId="0" fontId="8" fillId="2" borderId="0" xfId="0" applyFont="1" applyFill="1" applyBorder="1" applyAlignment="1"/>
    <xf numFmtId="164" fontId="2" fillId="2" borderId="0" xfId="0" applyNumberFormat="1" applyFont="1" applyFill="1" applyBorder="1"/>
    <xf numFmtId="164" fontId="2" fillId="2" borderId="0" xfId="0" applyNumberFormat="1" applyFont="1" applyFill="1" applyBorder="1" applyAlignment="1"/>
    <xf numFmtId="0" fontId="10" fillId="3" borderId="0" xfId="0" applyFont="1" applyFill="1"/>
    <xf numFmtId="0" fontId="11" fillId="3" borderId="0" xfId="0" applyFont="1" applyFill="1"/>
    <xf numFmtId="0" fontId="12" fillId="3" borderId="0" xfId="0" applyFont="1" applyFill="1"/>
    <xf numFmtId="0" fontId="11" fillId="3" borderId="0" xfId="0" applyFont="1" applyFill="1" applyBorder="1"/>
    <xf numFmtId="0" fontId="13" fillId="0" borderId="0" xfId="0" applyFont="1"/>
    <xf numFmtId="0" fontId="3" fillId="0" borderId="0" xfId="0" applyFont="1" applyAlignment="1" applyProtection="1">
      <alignment vertical="top"/>
      <protection locked="0"/>
    </xf>
    <xf numFmtId="0" fontId="5" fillId="0" borderId="0" xfId="0" applyFont="1" applyAlignment="1">
      <alignment vertical="top"/>
    </xf>
    <xf numFmtId="0" fontId="2" fillId="0" borderId="0" xfId="0" applyFont="1"/>
    <xf numFmtId="0" fontId="2" fillId="4" borderId="0" xfId="0" applyFont="1" applyFill="1" applyBorder="1"/>
    <xf numFmtId="0" fontId="2" fillId="4" borderId="0" xfId="0" applyFont="1" applyFill="1"/>
    <xf numFmtId="0" fontId="2" fillId="0" borderId="0" xfId="0" applyFont="1" applyFill="1"/>
    <xf numFmtId="0" fontId="2" fillId="0" borderId="0" xfId="0" applyFont="1" applyFill="1" applyBorder="1"/>
    <xf numFmtId="0" fontId="11" fillId="3" borderId="0" xfId="0" applyFont="1" applyFill="1" applyAlignment="1">
      <alignment horizontal="center"/>
    </xf>
    <xf numFmtId="0" fontId="2" fillId="0" borderId="0" xfId="0" applyFont="1" applyFill="1"/>
    <xf numFmtId="0" fontId="5" fillId="0" borderId="0" xfId="0" applyFont="1" applyFill="1" applyBorder="1"/>
    <xf numFmtId="0" fontId="2" fillId="0" borderId="0" xfId="0" applyFont="1" applyFill="1" applyBorder="1" applyAlignment="1">
      <alignment horizontal="centerContinuous"/>
    </xf>
    <xf numFmtId="0" fontId="3" fillId="0" borderId="0" xfId="0" applyFont="1" applyAlignment="1">
      <alignment wrapText="1"/>
    </xf>
    <xf numFmtId="0" fontId="3" fillId="0" borderId="0" xfId="0" applyFont="1" applyAlignment="1" applyProtection="1">
      <alignment wrapText="1"/>
      <protection locked="0"/>
    </xf>
    <xf numFmtId="0" fontId="2" fillId="4" borderId="10" xfId="0" applyFont="1" applyFill="1" applyBorder="1"/>
    <xf numFmtId="0" fontId="2" fillId="0" borderId="0" xfId="0" applyFont="1" applyFill="1"/>
    <xf numFmtId="0" fontId="2" fillId="4" borderId="18" xfId="0" applyFont="1" applyFill="1" applyBorder="1"/>
    <xf numFmtId="0" fontId="14" fillId="0" borderId="0" xfId="0" applyFont="1" applyAlignment="1">
      <alignment horizontal="left"/>
    </xf>
    <xf numFmtId="0" fontId="0" fillId="0" borderId="20" xfId="0" applyBorder="1" applyAlignment="1">
      <alignment horizontal="center"/>
    </xf>
    <xf numFmtId="0" fontId="2" fillId="0" borderId="8" xfId="0" applyFont="1" applyBorder="1" applyAlignment="1">
      <alignment horizontal="center"/>
    </xf>
    <xf numFmtId="0" fontId="0" fillId="0" borderId="5" xfId="0" applyBorder="1" applyAlignment="1"/>
    <xf numFmtId="0" fontId="0" fillId="0" borderId="6" xfId="0" applyBorder="1" applyAlignment="1"/>
    <xf numFmtId="0" fontId="0" fillId="0" borderId="9" xfId="0" applyBorder="1" applyAlignment="1"/>
    <xf numFmtId="0" fontId="0" fillId="0" borderId="10" xfId="0" applyBorder="1" applyAlignment="1"/>
    <xf numFmtId="0" fontId="0" fillId="0" borderId="12" xfId="0" applyBorder="1" applyAlignment="1"/>
    <xf numFmtId="0" fontId="2" fillId="0" borderId="5" xfId="0" applyFont="1" applyBorder="1" applyAlignment="1">
      <alignment horizontal="center"/>
    </xf>
    <xf numFmtId="0" fontId="2" fillId="4" borderId="10" xfId="0" applyFont="1" applyFill="1" applyBorder="1"/>
    <xf numFmtId="0" fontId="2" fillId="4" borderId="5" xfId="0" applyFont="1" applyFill="1" applyBorder="1"/>
    <xf numFmtId="0" fontId="2" fillId="0" borderId="0" xfId="0" applyFont="1" applyFill="1"/>
    <xf numFmtId="0" fontId="2" fillId="0" borderId="16" xfId="0" applyFont="1" applyFill="1" applyBorder="1"/>
    <xf numFmtId="0" fontId="0" fillId="0" borderId="17" xfId="0" quotePrefix="1" applyBorder="1" applyAlignment="1">
      <alignment horizontal="center"/>
    </xf>
    <xf numFmtId="0" fontId="0" fillId="0" borderId="17" xfId="0" applyBorder="1" applyAlignment="1">
      <alignment horizontal="center"/>
    </xf>
    <xf numFmtId="0" fontId="0" fillId="0" borderId="21" xfId="0" applyBorder="1" applyAlignment="1">
      <alignment horizontal="center"/>
    </xf>
    <xf numFmtId="0" fontId="0" fillId="0" borderId="19" xfId="0"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95250</xdr:colOff>
          <xdr:row>99</xdr:row>
          <xdr:rowOff>0</xdr:rowOff>
        </xdr:from>
        <xdr:to>
          <xdr:col>20</xdr:col>
          <xdr:colOff>257175</xdr:colOff>
          <xdr:row>100</xdr:row>
          <xdr:rowOff>9525</xdr:rowOff>
        </xdr:to>
        <xdr:sp macro="" textlink="">
          <xdr:nvSpPr>
            <xdr:cNvPr id="1027" name="CommandButton1"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U182"/>
  <sheetViews>
    <sheetView tabSelected="1" topLeftCell="C103" workbookViewId="0">
      <selection activeCell="M117" sqref="M117"/>
    </sheetView>
  </sheetViews>
  <sheetFormatPr defaultColWidth="8.85546875" defaultRowHeight="12.75" x14ac:dyDescent="0.2"/>
  <cols>
    <col min="1" max="1" width="4.85546875" style="15" customWidth="1"/>
    <col min="2" max="2" width="80.5703125" style="16" customWidth="1"/>
    <col min="3" max="3" width="3.5703125" style="2" customWidth="1"/>
    <col min="4" max="4" width="5.140625" style="15" customWidth="1"/>
    <col min="5" max="5" width="25" style="2" customWidth="1"/>
    <col min="6" max="6" width="0.140625" style="2" customWidth="1"/>
    <col min="7" max="15" width="5.85546875" style="17" customWidth="1"/>
    <col min="16" max="17" width="11.5703125" style="2" customWidth="1"/>
    <col min="18" max="18" width="11.5703125" style="15" customWidth="1"/>
    <col min="19" max="19" width="10" style="15" customWidth="1"/>
    <col min="20" max="20" width="9.28515625" style="2" customWidth="1"/>
    <col min="21" max="21" width="4.140625" style="2" customWidth="1"/>
    <col min="22" max="22" width="2" style="2" customWidth="1"/>
    <col min="23" max="23" width="23.5703125" style="2" customWidth="1"/>
    <col min="24" max="119" width="1.7109375" style="124" customWidth="1"/>
    <col min="120" max="120" width="1.7109375" style="2" customWidth="1"/>
    <col min="121" max="171" width="8.85546875" style="2" customWidth="1"/>
    <col min="172" max="16384" width="8.85546875" style="2"/>
  </cols>
  <sheetData>
    <row r="1" spans="1:19" s="3" customFormat="1" x14ac:dyDescent="0.2">
      <c r="A1" s="1" t="s">
        <v>25</v>
      </c>
      <c r="B1" s="124"/>
      <c r="D1" s="4"/>
      <c r="G1" s="5"/>
      <c r="H1" s="5"/>
      <c r="I1" s="5"/>
      <c r="J1" s="5"/>
      <c r="K1" s="5"/>
      <c r="L1" s="5"/>
      <c r="M1" s="5"/>
      <c r="N1" s="5"/>
      <c r="O1" s="5"/>
      <c r="R1" s="4"/>
      <c r="S1" s="4"/>
    </row>
    <row r="2" spans="1:19" s="3" customFormat="1" x14ac:dyDescent="0.2">
      <c r="A2" s="1"/>
      <c r="B2" s="124"/>
      <c r="D2" s="4"/>
      <c r="G2" s="5"/>
      <c r="H2" s="5"/>
      <c r="I2" s="5"/>
      <c r="J2" s="5"/>
      <c r="K2" s="5"/>
      <c r="L2" s="5"/>
      <c r="M2" s="5"/>
      <c r="N2" s="5"/>
      <c r="O2" s="5"/>
      <c r="R2" s="4"/>
      <c r="S2" s="4"/>
    </row>
    <row r="3" spans="1:19" s="3" customFormat="1" ht="30" customHeight="1" x14ac:dyDescent="0.2">
      <c r="A3" s="4"/>
      <c r="B3" s="10" t="s">
        <v>26</v>
      </c>
      <c r="D3" s="4"/>
      <c r="G3" s="5"/>
      <c r="H3" s="5"/>
      <c r="I3" s="5"/>
      <c r="J3" s="5"/>
      <c r="K3" s="5"/>
      <c r="L3" s="5"/>
      <c r="M3" s="5"/>
      <c r="N3" s="5"/>
      <c r="O3" s="5"/>
      <c r="R3" s="4"/>
      <c r="S3" s="4"/>
    </row>
    <row r="4" spans="1:19" s="8" customFormat="1" ht="53.25" customHeight="1" x14ac:dyDescent="0.2">
      <c r="A4" s="6"/>
      <c r="B4" s="7" t="s">
        <v>123</v>
      </c>
      <c r="D4" s="6"/>
      <c r="G4" s="9"/>
      <c r="H4" s="9"/>
      <c r="I4" s="9"/>
      <c r="J4" s="9"/>
      <c r="K4" s="9"/>
      <c r="L4" s="9"/>
      <c r="M4" s="9"/>
      <c r="N4" s="9"/>
      <c r="O4" s="9"/>
      <c r="R4" s="6"/>
      <c r="S4" s="6"/>
    </row>
    <row r="5" spans="1:19" s="8" customFormat="1" x14ac:dyDescent="0.2">
      <c r="A5" s="6"/>
      <c r="B5" s="7"/>
      <c r="D5" s="6"/>
      <c r="G5" s="9"/>
      <c r="H5" s="9"/>
      <c r="I5" s="9"/>
      <c r="J5" s="9"/>
      <c r="K5" s="9"/>
      <c r="L5" s="9"/>
      <c r="M5" s="9"/>
      <c r="N5" s="9"/>
      <c r="O5" s="9"/>
      <c r="R5" s="6"/>
      <c r="S5" s="6"/>
    </row>
    <row r="6" spans="1:19" s="3" customFormat="1" x14ac:dyDescent="0.2">
      <c r="A6" s="4"/>
      <c r="B6" s="10" t="s">
        <v>0</v>
      </c>
      <c r="D6" s="4"/>
      <c r="G6" s="5"/>
      <c r="H6" s="5"/>
      <c r="I6" s="5"/>
      <c r="J6" s="5"/>
      <c r="K6" s="5"/>
      <c r="L6" s="5"/>
      <c r="M6" s="5"/>
      <c r="N6" s="5"/>
      <c r="O6" s="5"/>
      <c r="R6" s="4"/>
      <c r="S6" s="4"/>
    </row>
    <row r="7" spans="1:19" s="8" customFormat="1" ht="30" customHeight="1" x14ac:dyDescent="0.2">
      <c r="A7" s="6"/>
      <c r="B7" s="7" t="s">
        <v>1</v>
      </c>
      <c r="D7" s="6"/>
      <c r="G7" s="9"/>
      <c r="H7" s="9"/>
      <c r="I7" s="9"/>
      <c r="J7" s="9"/>
      <c r="K7" s="9"/>
      <c r="L7" s="9"/>
      <c r="M7" s="9"/>
      <c r="N7" s="9"/>
      <c r="O7" s="9"/>
      <c r="R7" s="6"/>
      <c r="S7" s="6"/>
    </row>
    <row r="8" spans="1:19" s="8" customFormat="1" x14ac:dyDescent="0.2">
      <c r="A8" s="6"/>
      <c r="B8" s="7" t="s">
        <v>2</v>
      </c>
      <c r="D8" s="6"/>
      <c r="G8" s="9"/>
      <c r="H8" s="9"/>
      <c r="I8" s="9"/>
      <c r="J8" s="9"/>
      <c r="K8" s="9"/>
      <c r="L8" s="9"/>
      <c r="M8" s="9"/>
      <c r="N8" s="9"/>
      <c r="O8" s="9"/>
      <c r="R8" s="6"/>
      <c r="S8" s="6"/>
    </row>
    <row r="9" spans="1:19" s="8" customFormat="1" ht="30.75" customHeight="1" x14ac:dyDescent="0.2">
      <c r="A9" s="6"/>
      <c r="B9" s="7" t="s">
        <v>3</v>
      </c>
      <c r="D9" s="6"/>
      <c r="G9" s="9"/>
      <c r="H9" s="9"/>
      <c r="I9" s="9"/>
      <c r="J9" s="9"/>
      <c r="K9" s="9"/>
      <c r="L9" s="9"/>
      <c r="M9" s="9"/>
      <c r="N9" s="9"/>
      <c r="O9" s="9"/>
      <c r="R9" s="6"/>
      <c r="S9" s="6"/>
    </row>
    <row r="10" spans="1:19" s="8" customFormat="1" x14ac:dyDescent="0.2">
      <c r="A10" s="6"/>
      <c r="B10" s="7"/>
      <c r="D10" s="6"/>
      <c r="G10" s="9"/>
      <c r="H10" s="9"/>
      <c r="I10" s="9"/>
      <c r="J10" s="9"/>
      <c r="K10" s="9"/>
      <c r="L10" s="9"/>
      <c r="M10" s="9"/>
      <c r="N10" s="9"/>
      <c r="O10" s="9"/>
      <c r="R10" s="6"/>
      <c r="S10" s="6"/>
    </row>
    <row r="11" spans="1:19" s="3" customFormat="1" ht="15" customHeight="1" x14ac:dyDescent="0.2">
      <c r="A11" s="4"/>
      <c r="B11" s="10" t="s">
        <v>4</v>
      </c>
      <c r="D11" s="4"/>
      <c r="G11" s="5"/>
      <c r="H11" s="5"/>
      <c r="I11" s="5"/>
      <c r="J11" s="5"/>
      <c r="K11" s="5"/>
      <c r="L11" s="5"/>
      <c r="M11" s="5"/>
      <c r="N11" s="5"/>
      <c r="O11" s="5"/>
      <c r="R11" s="4"/>
      <c r="S11" s="4"/>
    </row>
    <row r="12" spans="1:19" s="8" customFormat="1" ht="15" customHeight="1" x14ac:dyDescent="0.2">
      <c r="A12" s="6"/>
      <c r="B12" s="7" t="s">
        <v>5</v>
      </c>
      <c r="D12" s="6"/>
      <c r="G12" s="9"/>
      <c r="H12" s="9"/>
      <c r="I12" s="9"/>
      <c r="J12" s="9"/>
      <c r="K12" s="9"/>
      <c r="L12" s="9"/>
      <c r="M12" s="9"/>
      <c r="N12" s="9"/>
      <c r="O12" s="9"/>
      <c r="R12" s="6"/>
      <c r="S12" s="6"/>
    </row>
    <row r="13" spans="1:19" s="8" customFormat="1" x14ac:dyDescent="0.2">
      <c r="A13" s="6"/>
      <c r="B13" s="7"/>
      <c r="D13" s="6"/>
      <c r="G13" s="9"/>
      <c r="H13" s="9"/>
      <c r="I13" s="9"/>
      <c r="J13" s="9"/>
      <c r="K13" s="9"/>
      <c r="L13" s="9"/>
      <c r="M13" s="9"/>
      <c r="N13" s="9"/>
      <c r="O13" s="9"/>
      <c r="R13" s="6"/>
      <c r="S13" s="6"/>
    </row>
    <row r="14" spans="1:19" s="3" customFormat="1" x14ac:dyDescent="0.2">
      <c r="A14" s="4"/>
      <c r="B14" s="10" t="s">
        <v>6</v>
      </c>
      <c r="D14" s="4"/>
      <c r="G14" s="5"/>
      <c r="H14" s="5"/>
      <c r="I14" s="5"/>
      <c r="J14" s="5"/>
      <c r="K14" s="5"/>
      <c r="L14" s="5"/>
      <c r="M14" s="5"/>
      <c r="N14" s="5"/>
      <c r="O14" s="5"/>
      <c r="R14" s="4"/>
      <c r="S14" s="4"/>
    </row>
    <row r="15" spans="1:19" s="8" customFormat="1" x14ac:dyDescent="0.2">
      <c r="A15" s="6"/>
      <c r="B15" s="7" t="s">
        <v>7</v>
      </c>
      <c r="D15" s="6"/>
      <c r="G15" s="9"/>
      <c r="H15" s="9"/>
      <c r="I15" s="9"/>
      <c r="J15" s="9"/>
      <c r="K15" s="9"/>
      <c r="L15" s="9"/>
      <c r="M15" s="9"/>
      <c r="N15" s="9"/>
      <c r="O15" s="9"/>
      <c r="R15" s="6"/>
      <c r="S15" s="6"/>
    </row>
    <row r="16" spans="1:19" s="133" customFormat="1" ht="51.75" customHeight="1" x14ac:dyDescent="0.2">
      <c r="B16" s="7" t="s">
        <v>124</v>
      </c>
      <c r="G16" s="134"/>
      <c r="H16" s="134"/>
      <c r="I16" s="134"/>
      <c r="J16" s="134"/>
      <c r="K16" s="134"/>
      <c r="L16" s="134"/>
      <c r="M16" s="134"/>
      <c r="N16" s="134"/>
      <c r="O16" s="134"/>
    </row>
    <row r="17" spans="1:19" s="8" customFormat="1" x14ac:dyDescent="0.2">
      <c r="A17" s="6"/>
      <c r="B17" s="7"/>
      <c r="D17" s="6"/>
      <c r="G17" s="9"/>
      <c r="H17" s="9"/>
      <c r="I17" s="9"/>
      <c r="J17" s="9"/>
      <c r="K17" s="9"/>
      <c r="L17" s="9"/>
      <c r="M17" s="9"/>
      <c r="N17" s="9"/>
      <c r="O17" s="9"/>
      <c r="R17" s="6"/>
      <c r="S17" s="6"/>
    </row>
    <row r="18" spans="1:19" s="8" customFormat="1" x14ac:dyDescent="0.2">
      <c r="A18" s="6"/>
      <c r="B18" s="7"/>
      <c r="D18" s="6"/>
      <c r="G18" s="9"/>
      <c r="H18" s="9"/>
      <c r="I18" s="9"/>
      <c r="J18" s="9"/>
      <c r="K18" s="9"/>
      <c r="L18" s="9"/>
      <c r="M18" s="9"/>
      <c r="N18" s="9"/>
      <c r="O18" s="9"/>
      <c r="R18" s="6"/>
      <c r="S18" s="6"/>
    </row>
    <row r="19" spans="1:19" s="3" customFormat="1" x14ac:dyDescent="0.2">
      <c r="A19" s="1" t="s">
        <v>23</v>
      </c>
      <c r="B19" s="124"/>
      <c r="D19" s="4"/>
      <c r="G19" s="5"/>
      <c r="H19" s="5"/>
      <c r="I19" s="5"/>
      <c r="J19" s="5"/>
      <c r="K19" s="5"/>
      <c r="L19" s="5"/>
      <c r="M19" s="5"/>
      <c r="N19" s="5"/>
      <c r="O19" s="5"/>
      <c r="R19" s="4"/>
      <c r="S19" s="4"/>
    </row>
    <row r="20" spans="1:19" s="8" customFormat="1" x14ac:dyDescent="0.2">
      <c r="A20" s="6"/>
      <c r="B20" s="7"/>
      <c r="D20" s="6"/>
      <c r="G20" s="9"/>
      <c r="H20" s="9"/>
      <c r="I20" s="9"/>
      <c r="J20" s="9"/>
      <c r="K20" s="9"/>
      <c r="L20" s="9"/>
      <c r="M20" s="9"/>
      <c r="N20" s="9"/>
      <c r="O20" s="9"/>
      <c r="R20" s="6"/>
      <c r="S20" s="6"/>
    </row>
    <row r="21" spans="1:19" s="3" customFormat="1" x14ac:dyDescent="0.2">
      <c r="A21" s="4"/>
      <c r="B21" s="10" t="s">
        <v>8</v>
      </c>
      <c r="D21" s="4"/>
      <c r="G21" s="5"/>
      <c r="H21" s="5"/>
      <c r="I21" s="5"/>
      <c r="J21" s="5"/>
      <c r="K21" s="5"/>
      <c r="L21" s="5"/>
      <c r="M21" s="5"/>
      <c r="N21" s="5"/>
      <c r="O21" s="5"/>
      <c r="R21" s="4"/>
      <c r="S21" s="4"/>
    </row>
    <row r="22" spans="1:19" s="3" customFormat="1" ht="15" customHeight="1" x14ac:dyDescent="0.2">
      <c r="A22" s="4"/>
      <c r="B22" s="10" t="s">
        <v>9</v>
      </c>
      <c r="D22" s="4"/>
      <c r="G22" s="5"/>
      <c r="H22" s="5"/>
      <c r="I22" s="5"/>
      <c r="J22" s="5"/>
      <c r="K22" s="5"/>
      <c r="L22" s="5"/>
      <c r="M22" s="5"/>
      <c r="N22" s="5"/>
      <c r="O22" s="5"/>
      <c r="R22" s="4"/>
      <c r="S22" s="4"/>
    </row>
    <row r="23" spans="1:19" s="8" customFormat="1" x14ac:dyDescent="0.2">
      <c r="A23" s="6"/>
      <c r="B23" s="7"/>
      <c r="D23" s="6"/>
      <c r="G23" s="9"/>
      <c r="H23" s="9"/>
      <c r="I23" s="9"/>
      <c r="J23" s="9"/>
      <c r="K23" s="9"/>
      <c r="L23" s="9"/>
      <c r="M23" s="9"/>
      <c r="N23" s="9"/>
      <c r="O23" s="9"/>
      <c r="R23" s="6"/>
      <c r="S23" s="6"/>
    </row>
    <row r="24" spans="1:19" s="8" customFormat="1" ht="30" customHeight="1" x14ac:dyDescent="0.2">
      <c r="A24" s="6"/>
      <c r="B24" s="10" t="s">
        <v>10</v>
      </c>
      <c r="D24" s="6"/>
      <c r="G24" s="9"/>
      <c r="H24" s="9"/>
      <c r="I24" s="9"/>
      <c r="J24" s="9"/>
      <c r="K24" s="9"/>
      <c r="L24" s="9"/>
      <c r="M24" s="9"/>
      <c r="N24" s="9"/>
      <c r="O24" s="9"/>
      <c r="R24" s="6"/>
      <c r="S24" s="6"/>
    </row>
    <row r="25" spans="1:19" s="8" customFormat="1" ht="45" customHeight="1" x14ac:dyDescent="0.2">
      <c r="A25" s="6"/>
      <c r="B25" s="7" t="s">
        <v>94</v>
      </c>
      <c r="D25" s="6"/>
      <c r="G25" s="9"/>
      <c r="H25" s="9"/>
      <c r="I25" s="9"/>
      <c r="J25" s="9"/>
      <c r="K25" s="9"/>
      <c r="L25" s="9"/>
      <c r="M25" s="9"/>
      <c r="N25" s="9"/>
      <c r="O25" s="9"/>
      <c r="R25" s="6"/>
      <c r="S25" s="6"/>
    </row>
    <row r="26" spans="1:19" s="8" customFormat="1" x14ac:dyDescent="0.2">
      <c r="A26" s="6"/>
      <c r="B26" s="7"/>
      <c r="D26" s="6"/>
      <c r="G26" s="9"/>
      <c r="H26" s="9"/>
      <c r="I26" s="9"/>
      <c r="J26" s="9"/>
      <c r="K26" s="9"/>
      <c r="L26" s="9"/>
      <c r="M26" s="9"/>
      <c r="N26" s="9"/>
      <c r="O26" s="9"/>
      <c r="R26" s="6"/>
      <c r="S26" s="6"/>
    </row>
    <row r="27" spans="1:19" s="3" customFormat="1" ht="30" customHeight="1" x14ac:dyDescent="0.2">
      <c r="A27" s="4"/>
      <c r="B27" s="10" t="s">
        <v>11</v>
      </c>
      <c r="D27" s="4"/>
      <c r="G27" s="5"/>
      <c r="H27" s="5"/>
      <c r="I27" s="5"/>
      <c r="J27" s="5"/>
      <c r="K27" s="5"/>
      <c r="L27" s="5"/>
      <c r="M27" s="5"/>
      <c r="N27" s="5"/>
      <c r="O27" s="5"/>
      <c r="R27" s="4"/>
      <c r="S27" s="4"/>
    </row>
    <row r="28" spans="1:19" s="8" customFormat="1" x14ac:dyDescent="0.2">
      <c r="A28" s="6"/>
      <c r="B28" s="7"/>
      <c r="D28" s="6"/>
      <c r="G28" s="9"/>
      <c r="H28" s="9"/>
      <c r="I28" s="9"/>
      <c r="J28" s="9"/>
      <c r="K28" s="9"/>
      <c r="L28" s="9"/>
      <c r="M28" s="9"/>
      <c r="N28" s="9"/>
      <c r="O28" s="9"/>
      <c r="R28" s="6"/>
      <c r="S28" s="6"/>
    </row>
    <row r="29" spans="1:19" s="8" customFormat="1" ht="30" customHeight="1" x14ac:dyDescent="0.2">
      <c r="A29" s="6"/>
      <c r="B29" s="10" t="s">
        <v>12</v>
      </c>
      <c r="D29" s="6"/>
      <c r="G29" s="9"/>
      <c r="H29" s="9"/>
      <c r="I29" s="9"/>
      <c r="J29" s="9"/>
      <c r="K29" s="9"/>
      <c r="L29" s="9"/>
      <c r="M29" s="9"/>
      <c r="N29" s="9"/>
      <c r="O29" s="9"/>
      <c r="R29" s="6"/>
      <c r="S29" s="6"/>
    </row>
    <row r="30" spans="1:19" s="8" customFormat="1" ht="53.25" customHeight="1" x14ac:dyDescent="0.2">
      <c r="A30" s="6"/>
      <c r="B30" s="7" t="s">
        <v>125</v>
      </c>
      <c r="D30" s="6"/>
      <c r="G30" s="9"/>
      <c r="H30" s="9"/>
      <c r="I30" s="9"/>
      <c r="J30" s="9"/>
      <c r="K30" s="9"/>
      <c r="L30" s="9"/>
      <c r="M30" s="9"/>
      <c r="N30" s="9"/>
      <c r="O30" s="9"/>
      <c r="R30" s="6"/>
      <c r="S30" s="6"/>
    </row>
    <row r="31" spans="1:19" s="8" customFormat="1" x14ac:dyDescent="0.2">
      <c r="A31" s="6"/>
      <c r="B31" s="7"/>
      <c r="D31" s="6"/>
      <c r="G31" s="9"/>
      <c r="H31" s="9"/>
      <c r="I31" s="9"/>
      <c r="J31" s="9"/>
      <c r="K31" s="9"/>
      <c r="L31" s="9"/>
      <c r="M31" s="9"/>
      <c r="N31" s="9"/>
      <c r="O31" s="9"/>
      <c r="R31" s="6"/>
      <c r="S31" s="6"/>
    </row>
    <row r="32" spans="1:19" s="3" customFormat="1" x14ac:dyDescent="0.2">
      <c r="A32" s="4"/>
      <c r="B32" s="10" t="s">
        <v>13</v>
      </c>
      <c r="D32" s="4"/>
      <c r="G32" s="5"/>
      <c r="H32" s="5"/>
      <c r="I32" s="5"/>
      <c r="J32" s="5"/>
      <c r="K32" s="5"/>
      <c r="L32" s="5"/>
      <c r="M32" s="5"/>
      <c r="N32" s="5"/>
      <c r="O32" s="5"/>
      <c r="R32" s="4"/>
      <c r="S32" s="4"/>
    </row>
    <row r="33" spans="1:19" s="8" customFormat="1" ht="30" customHeight="1" x14ac:dyDescent="0.2">
      <c r="A33" s="6"/>
      <c r="B33" s="7" t="s">
        <v>14</v>
      </c>
      <c r="D33" s="6"/>
      <c r="G33" s="9"/>
      <c r="H33" s="9"/>
      <c r="I33" s="9"/>
      <c r="J33" s="9"/>
      <c r="K33" s="9"/>
      <c r="L33" s="9"/>
      <c r="M33" s="9"/>
      <c r="N33" s="9"/>
      <c r="O33" s="9"/>
      <c r="R33" s="6"/>
      <c r="S33" s="6"/>
    </row>
    <row r="34" spans="1:19" s="8" customFormat="1" x14ac:dyDescent="0.2">
      <c r="A34" s="6"/>
      <c r="B34" s="7"/>
      <c r="D34" s="6"/>
      <c r="G34" s="9"/>
      <c r="H34" s="9"/>
      <c r="I34" s="9"/>
      <c r="J34" s="9"/>
      <c r="K34" s="9"/>
      <c r="L34" s="9"/>
      <c r="M34" s="9"/>
      <c r="N34" s="9"/>
      <c r="O34" s="9"/>
      <c r="R34" s="6"/>
      <c r="S34" s="6"/>
    </row>
    <row r="35" spans="1:19" s="3" customFormat="1" ht="30" customHeight="1" x14ac:dyDescent="0.2">
      <c r="A35" s="4"/>
      <c r="B35" s="10" t="s">
        <v>73</v>
      </c>
      <c r="D35" s="4"/>
      <c r="G35" s="5"/>
      <c r="H35" s="5"/>
      <c r="I35" s="5"/>
      <c r="J35" s="5"/>
      <c r="K35" s="5"/>
      <c r="L35" s="5"/>
      <c r="M35" s="5"/>
      <c r="N35" s="5"/>
      <c r="O35" s="5"/>
      <c r="R35" s="4"/>
      <c r="S35" s="4"/>
    </row>
    <row r="36" spans="1:19" s="8" customFormat="1" ht="53.25" customHeight="1" x14ac:dyDescent="0.2">
      <c r="A36" s="6"/>
      <c r="B36" s="7" t="s">
        <v>126</v>
      </c>
      <c r="D36" s="6"/>
      <c r="G36" s="9"/>
      <c r="H36" s="9"/>
      <c r="I36" s="9"/>
      <c r="J36" s="9"/>
      <c r="K36" s="9"/>
      <c r="L36" s="9"/>
      <c r="M36" s="9"/>
      <c r="N36" s="9"/>
      <c r="O36" s="9"/>
      <c r="R36" s="6"/>
      <c r="S36" s="6"/>
    </row>
    <row r="37" spans="1:19" s="8" customFormat="1" ht="15" customHeight="1" x14ac:dyDescent="0.2">
      <c r="A37" s="6"/>
      <c r="B37" s="7"/>
      <c r="D37" s="6"/>
      <c r="G37" s="9"/>
      <c r="H37" s="9"/>
      <c r="I37" s="9"/>
      <c r="J37" s="9"/>
      <c r="K37" s="9"/>
      <c r="L37" s="9"/>
      <c r="M37" s="9"/>
      <c r="N37" s="9"/>
      <c r="O37" s="9"/>
      <c r="R37" s="6"/>
      <c r="S37" s="6"/>
    </row>
    <row r="38" spans="1:19" s="3" customFormat="1" ht="15" customHeight="1" x14ac:dyDescent="0.2">
      <c r="A38" s="4"/>
      <c r="B38" s="10" t="s">
        <v>74</v>
      </c>
      <c r="D38" s="4"/>
      <c r="G38" s="5"/>
      <c r="H38" s="5"/>
      <c r="I38" s="5"/>
      <c r="J38" s="5"/>
      <c r="K38" s="5"/>
      <c r="L38" s="5"/>
      <c r="M38" s="5"/>
      <c r="N38" s="5"/>
      <c r="O38" s="5"/>
      <c r="R38" s="4"/>
      <c r="S38" s="4"/>
    </row>
    <row r="39" spans="1:19" s="8" customFormat="1" ht="78" customHeight="1" x14ac:dyDescent="0.2">
      <c r="A39" s="6"/>
      <c r="B39" s="7" t="s">
        <v>127</v>
      </c>
      <c r="D39" s="6"/>
      <c r="G39" s="9"/>
      <c r="H39" s="9"/>
      <c r="I39" s="9"/>
      <c r="J39" s="9"/>
      <c r="K39" s="9"/>
      <c r="L39" s="9"/>
      <c r="M39" s="9"/>
      <c r="N39" s="9"/>
      <c r="O39" s="9"/>
      <c r="R39" s="6"/>
      <c r="S39" s="6"/>
    </row>
    <row r="40" spans="1:19" s="3" customFormat="1" ht="15" customHeight="1" x14ac:dyDescent="0.2">
      <c r="A40" s="4"/>
      <c r="B40" s="10"/>
      <c r="D40" s="4"/>
      <c r="G40" s="5"/>
      <c r="H40" s="5"/>
      <c r="I40" s="5"/>
      <c r="J40" s="5"/>
      <c r="K40" s="5"/>
      <c r="L40" s="5"/>
      <c r="M40" s="5"/>
      <c r="N40" s="5"/>
      <c r="O40" s="5"/>
      <c r="R40" s="4"/>
      <c r="S40" s="4"/>
    </row>
    <row r="41" spans="1:19" s="3" customFormat="1" ht="14.25" customHeight="1" x14ac:dyDescent="0.2">
      <c r="A41" s="4"/>
      <c r="B41" s="10" t="s">
        <v>137</v>
      </c>
      <c r="D41" s="4"/>
      <c r="G41" s="5"/>
      <c r="H41" s="5"/>
      <c r="I41" s="5"/>
      <c r="J41" s="5"/>
      <c r="K41" s="5"/>
      <c r="L41" s="5"/>
      <c r="M41" s="5"/>
      <c r="N41" s="5"/>
      <c r="O41" s="5"/>
      <c r="R41" s="4"/>
      <c r="S41" s="4"/>
    </row>
    <row r="42" spans="1:19" s="8" customFormat="1" ht="39.75" customHeight="1" x14ac:dyDescent="0.2">
      <c r="A42" s="6"/>
      <c r="B42" s="7" t="s">
        <v>138</v>
      </c>
      <c r="D42" s="6"/>
      <c r="G42" s="9"/>
      <c r="H42" s="9"/>
      <c r="I42" s="9"/>
      <c r="J42" s="9"/>
      <c r="K42" s="9"/>
      <c r="L42" s="9"/>
      <c r="M42" s="9"/>
      <c r="N42" s="9"/>
      <c r="O42" s="9"/>
      <c r="R42" s="6"/>
      <c r="S42" s="6"/>
    </row>
    <row r="43" spans="1:19" s="8" customFormat="1" x14ac:dyDescent="0.2">
      <c r="A43" s="6"/>
      <c r="B43" s="7"/>
      <c r="D43" s="6"/>
      <c r="G43" s="9"/>
      <c r="H43" s="9"/>
      <c r="I43" s="9"/>
      <c r="J43" s="9"/>
      <c r="K43" s="9"/>
      <c r="L43" s="9"/>
      <c r="M43" s="9"/>
      <c r="N43" s="9"/>
      <c r="O43" s="9"/>
      <c r="R43" s="6"/>
      <c r="S43" s="6"/>
    </row>
    <row r="44" spans="1:19" s="3" customFormat="1" x14ac:dyDescent="0.2">
      <c r="A44" s="4"/>
      <c r="B44" s="10" t="s">
        <v>75</v>
      </c>
      <c r="D44" s="4"/>
      <c r="G44" s="5"/>
      <c r="H44" s="5"/>
      <c r="I44" s="5"/>
      <c r="J44" s="5"/>
      <c r="K44" s="5"/>
      <c r="L44" s="5"/>
      <c r="M44" s="5"/>
      <c r="N44" s="5"/>
      <c r="O44" s="5"/>
      <c r="R44" s="4"/>
      <c r="S44" s="4"/>
    </row>
    <row r="45" spans="1:19" s="8" customFormat="1" x14ac:dyDescent="0.2">
      <c r="A45" s="6"/>
      <c r="B45" s="7"/>
      <c r="D45" s="6"/>
      <c r="G45" s="9"/>
      <c r="H45" s="9"/>
      <c r="I45" s="9"/>
      <c r="J45" s="9"/>
      <c r="K45" s="9"/>
      <c r="L45" s="9"/>
      <c r="M45" s="9"/>
      <c r="N45" s="9"/>
      <c r="O45" s="9"/>
      <c r="R45" s="6"/>
      <c r="S45" s="6"/>
    </row>
    <row r="46" spans="1:19" s="13" customFormat="1" ht="12.75" customHeight="1" x14ac:dyDescent="0.2">
      <c r="A46" s="11"/>
      <c r="B46" s="12" t="s">
        <v>76</v>
      </c>
      <c r="D46" s="11"/>
      <c r="G46" s="14"/>
      <c r="H46" s="14"/>
      <c r="I46" s="14"/>
      <c r="J46" s="14"/>
      <c r="K46" s="14"/>
      <c r="L46" s="14"/>
      <c r="M46" s="14"/>
      <c r="N46" s="14"/>
      <c r="O46" s="14"/>
      <c r="R46" s="11"/>
      <c r="S46" s="11"/>
    </row>
    <row r="47" spans="1:19" s="8" customFormat="1" x14ac:dyDescent="0.2">
      <c r="A47" s="6"/>
      <c r="B47" s="7"/>
      <c r="D47" s="6"/>
      <c r="G47" s="9"/>
      <c r="H47" s="9"/>
      <c r="I47" s="9"/>
      <c r="J47" s="9"/>
      <c r="K47" s="9"/>
      <c r="L47" s="9"/>
      <c r="M47" s="9"/>
      <c r="N47" s="9"/>
      <c r="O47" s="9"/>
      <c r="R47" s="6"/>
      <c r="S47" s="6"/>
    </row>
    <row r="48" spans="1:19" s="8" customFormat="1" ht="105.75" customHeight="1" x14ac:dyDescent="0.2">
      <c r="A48" s="6"/>
      <c r="B48" s="7" t="s">
        <v>134</v>
      </c>
      <c r="D48" s="6"/>
      <c r="G48" s="9"/>
      <c r="H48" s="9"/>
      <c r="I48" s="9"/>
      <c r="J48" s="9"/>
      <c r="K48" s="9"/>
      <c r="L48" s="9"/>
      <c r="M48" s="9"/>
      <c r="N48" s="9"/>
      <c r="O48" s="9"/>
      <c r="R48" s="6"/>
      <c r="S48" s="6"/>
    </row>
    <row r="49" spans="1:19" s="8" customFormat="1" x14ac:dyDescent="0.2">
      <c r="A49" s="6"/>
      <c r="B49" s="7"/>
      <c r="D49" s="6"/>
      <c r="G49" s="9"/>
      <c r="H49" s="9"/>
      <c r="I49" s="9"/>
      <c r="J49" s="9"/>
      <c r="K49" s="9"/>
      <c r="L49" s="9"/>
      <c r="M49" s="9"/>
      <c r="N49" s="9"/>
      <c r="O49" s="9"/>
      <c r="R49" s="6"/>
      <c r="S49" s="6"/>
    </row>
    <row r="50" spans="1:19" s="3" customFormat="1" x14ac:dyDescent="0.2">
      <c r="A50" s="4"/>
      <c r="B50" s="10" t="s">
        <v>15</v>
      </c>
      <c r="D50" s="4"/>
      <c r="G50" s="5"/>
      <c r="H50" s="5"/>
      <c r="I50" s="5"/>
      <c r="J50" s="5"/>
      <c r="K50" s="5"/>
      <c r="L50" s="5"/>
      <c r="M50" s="5"/>
      <c r="N50" s="5"/>
      <c r="O50" s="5"/>
      <c r="R50" s="4"/>
      <c r="S50" s="4"/>
    </row>
    <row r="51" spans="1:19" s="8" customFormat="1" ht="25.5" customHeight="1" x14ac:dyDescent="0.2">
      <c r="A51" s="6"/>
      <c r="B51" s="7" t="s">
        <v>16</v>
      </c>
      <c r="D51" s="6"/>
      <c r="G51" s="9"/>
      <c r="H51" s="9"/>
      <c r="I51" s="9"/>
      <c r="J51" s="9"/>
      <c r="K51" s="9"/>
      <c r="L51" s="9"/>
      <c r="M51" s="9"/>
      <c r="N51" s="9"/>
      <c r="O51" s="9"/>
      <c r="R51" s="6"/>
      <c r="S51" s="6"/>
    </row>
    <row r="52" spans="1:19" s="8" customFormat="1" ht="12.75" customHeight="1" x14ac:dyDescent="0.2">
      <c r="A52" s="6"/>
      <c r="B52" s="7"/>
      <c r="D52" s="6"/>
      <c r="G52" s="9"/>
      <c r="H52" s="9"/>
      <c r="I52" s="9"/>
      <c r="J52" s="9"/>
      <c r="K52" s="9"/>
      <c r="L52" s="9"/>
      <c r="M52" s="9"/>
      <c r="N52" s="9"/>
      <c r="O52" s="9"/>
      <c r="R52" s="6"/>
      <c r="S52" s="6"/>
    </row>
    <row r="53" spans="1:19" s="3" customFormat="1" x14ac:dyDescent="0.2">
      <c r="A53" s="4"/>
      <c r="B53" s="10" t="s">
        <v>78</v>
      </c>
      <c r="D53" s="4"/>
      <c r="G53" s="5"/>
      <c r="H53" s="5"/>
      <c r="I53" s="5"/>
      <c r="J53" s="5"/>
      <c r="K53" s="5"/>
      <c r="L53" s="5"/>
      <c r="M53" s="5"/>
      <c r="N53" s="5"/>
      <c r="O53" s="5"/>
      <c r="R53" s="4"/>
      <c r="S53" s="4"/>
    </row>
    <row r="54" spans="1:19" s="8" customFormat="1" ht="12.75" customHeight="1" x14ac:dyDescent="0.2">
      <c r="A54" s="6"/>
      <c r="B54" s="7" t="s">
        <v>80</v>
      </c>
      <c r="D54" s="6"/>
      <c r="G54" s="9"/>
      <c r="H54" s="9"/>
      <c r="I54" s="9"/>
      <c r="J54" s="9"/>
      <c r="K54" s="9"/>
      <c r="L54" s="9"/>
      <c r="M54" s="9"/>
      <c r="N54" s="9"/>
      <c r="O54" s="9"/>
      <c r="R54" s="6"/>
      <c r="S54" s="6"/>
    </row>
    <row r="55" spans="1:19" s="8" customFormat="1" x14ac:dyDescent="0.2">
      <c r="A55" s="6"/>
      <c r="B55" s="7" t="s">
        <v>17</v>
      </c>
      <c r="D55" s="6"/>
      <c r="G55" s="9"/>
      <c r="H55" s="9"/>
      <c r="I55" s="9"/>
      <c r="J55" s="9"/>
      <c r="K55" s="9"/>
      <c r="L55" s="9"/>
      <c r="M55" s="9"/>
      <c r="N55" s="9"/>
      <c r="O55" s="9"/>
      <c r="R55" s="6"/>
      <c r="S55" s="6"/>
    </row>
    <row r="56" spans="1:19" s="8" customFormat="1" ht="51" customHeight="1" x14ac:dyDescent="0.2">
      <c r="A56" s="6"/>
      <c r="B56" s="7" t="s">
        <v>128</v>
      </c>
      <c r="D56" s="6"/>
      <c r="G56" s="9"/>
      <c r="H56" s="9"/>
      <c r="I56" s="9"/>
      <c r="J56" s="9"/>
      <c r="K56" s="9"/>
      <c r="L56" s="9"/>
      <c r="M56" s="9"/>
      <c r="N56" s="9"/>
      <c r="O56" s="9"/>
      <c r="R56" s="6"/>
      <c r="S56" s="6"/>
    </row>
    <row r="57" spans="1:19" s="3" customFormat="1" x14ac:dyDescent="0.2">
      <c r="A57" s="4"/>
      <c r="B57" s="10" t="s">
        <v>79</v>
      </c>
      <c r="D57" s="4"/>
      <c r="G57" s="5"/>
      <c r="H57" s="5"/>
      <c r="I57" s="5"/>
      <c r="J57" s="5"/>
      <c r="K57" s="5"/>
      <c r="L57" s="5"/>
      <c r="M57" s="5"/>
      <c r="N57" s="5"/>
      <c r="O57" s="5"/>
      <c r="R57" s="4"/>
      <c r="S57" s="4"/>
    </row>
    <row r="58" spans="1:19" s="8" customFormat="1" ht="12.75" customHeight="1" x14ac:dyDescent="0.2">
      <c r="A58" s="6"/>
      <c r="B58" s="7" t="s">
        <v>81</v>
      </c>
      <c r="D58" s="6"/>
      <c r="G58" s="9"/>
      <c r="H58" s="9"/>
      <c r="I58" s="9"/>
      <c r="J58" s="9"/>
      <c r="K58" s="9"/>
      <c r="L58" s="9"/>
      <c r="M58" s="9"/>
      <c r="N58" s="9"/>
      <c r="O58" s="9"/>
      <c r="R58" s="6"/>
      <c r="S58" s="6"/>
    </row>
    <row r="59" spans="1:19" s="8" customFormat="1" x14ac:dyDescent="0.2">
      <c r="A59" s="6"/>
      <c r="B59" s="7" t="s">
        <v>17</v>
      </c>
      <c r="D59" s="6"/>
      <c r="G59" s="9"/>
      <c r="H59" s="9"/>
      <c r="I59" s="9"/>
      <c r="J59" s="9"/>
      <c r="K59" s="9"/>
      <c r="L59" s="9"/>
      <c r="M59" s="9"/>
      <c r="N59" s="9"/>
      <c r="O59" s="9"/>
      <c r="R59" s="6"/>
      <c r="S59" s="6"/>
    </row>
    <row r="60" spans="1:19" s="8" customFormat="1" ht="53.25" customHeight="1" x14ac:dyDescent="0.2">
      <c r="A60" s="6"/>
      <c r="B60" s="7" t="s">
        <v>129</v>
      </c>
      <c r="D60" s="6"/>
      <c r="G60" s="9"/>
      <c r="H60" s="9"/>
      <c r="I60" s="9"/>
      <c r="J60" s="9"/>
      <c r="K60" s="9"/>
      <c r="L60" s="9"/>
      <c r="M60" s="9"/>
      <c r="N60" s="9"/>
      <c r="O60" s="9"/>
      <c r="R60" s="6"/>
      <c r="S60" s="6"/>
    </row>
    <row r="61" spans="1:19" s="8" customFormat="1" x14ac:dyDescent="0.2">
      <c r="A61" s="6"/>
      <c r="B61" s="7"/>
      <c r="D61" s="6"/>
      <c r="G61" s="9"/>
      <c r="H61" s="9"/>
      <c r="I61" s="9"/>
      <c r="J61" s="9"/>
      <c r="K61" s="9"/>
      <c r="L61" s="9"/>
      <c r="M61" s="9"/>
      <c r="N61" s="9"/>
      <c r="O61" s="9"/>
      <c r="R61" s="6"/>
      <c r="S61" s="6"/>
    </row>
    <row r="62" spans="1:19" s="8" customFormat="1" x14ac:dyDescent="0.2">
      <c r="A62" s="6"/>
      <c r="B62" s="10" t="s">
        <v>84</v>
      </c>
      <c r="D62" s="6"/>
      <c r="G62" s="9"/>
      <c r="H62" s="9"/>
      <c r="I62" s="9"/>
      <c r="J62" s="9"/>
      <c r="K62" s="9"/>
      <c r="L62" s="9"/>
      <c r="M62" s="9"/>
      <c r="N62" s="9"/>
      <c r="O62" s="9"/>
      <c r="R62" s="6"/>
      <c r="S62" s="6"/>
    </row>
    <row r="63" spans="1:19" s="8" customFormat="1" x14ac:dyDescent="0.2">
      <c r="A63" s="6"/>
      <c r="B63" s="7" t="s">
        <v>19</v>
      </c>
      <c r="D63" s="6"/>
      <c r="G63" s="9"/>
      <c r="H63" s="9"/>
      <c r="I63" s="9"/>
      <c r="J63" s="9"/>
      <c r="K63" s="9"/>
      <c r="L63" s="9"/>
      <c r="M63" s="9"/>
      <c r="N63" s="9"/>
      <c r="O63" s="9"/>
      <c r="R63" s="6"/>
      <c r="S63" s="6"/>
    </row>
    <row r="64" spans="1:19" s="8" customFormat="1" x14ac:dyDescent="0.2">
      <c r="A64" s="6"/>
      <c r="B64" s="7" t="s">
        <v>85</v>
      </c>
      <c r="D64" s="6"/>
      <c r="G64" s="9"/>
      <c r="H64" s="9"/>
      <c r="I64" s="9"/>
      <c r="J64" s="9"/>
      <c r="K64" s="9"/>
      <c r="L64" s="9"/>
      <c r="M64" s="9"/>
      <c r="N64" s="9"/>
      <c r="O64" s="9"/>
      <c r="R64" s="6"/>
      <c r="S64" s="6"/>
    </row>
    <row r="65" spans="1:19" s="8" customFormat="1" ht="25.5" x14ac:dyDescent="0.2">
      <c r="A65" s="6"/>
      <c r="B65" s="7" t="s">
        <v>20</v>
      </c>
      <c r="D65" s="6"/>
      <c r="G65" s="9"/>
      <c r="H65" s="9"/>
      <c r="I65" s="9"/>
      <c r="J65" s="9"/>
      <c r="K65" s="9"/>
      <c r="L65" s="9"/>
      <c r="M65" s="9"/>
      <c r="N65" s="9"/>
      <c r="O65" s="9"/>
      <c r="R65" s="6"/>
      <c r="S65" s="6"/>
    </row>
    <row r="66" spans="1:19" s="8" customFormat="1" x14ac:dyDescent="0.2">
      <c r="A66" s="6"/>
      <c r="B66" s="7"/>
      <c r="D66" s="6"/>
      <c r="G66" s="9"/>
      <c r="H66" s="9"/>
      <c r="I66" s="9"/>
      <c r="J66" s="9"/>
      <c r="K66" s="9"/>
      <c r="L66" s="9"/>
      <c r="M66" s="9"/>
      <c r="N66" s="9"/>
      <c r="O66" s="9"/>
      <c r="R66" s="6"/>
      <c r="S66" s="6"/>
    </row>
    <row r="67" spans="1:19" s="8" customFormat="1" x14ac:dyDescent="0.2">
      <c r="A67" s="6"/>
      <c r="B67" s="10" t="s">
        <v>86</v>
      </c>
      <c r="D67" s="6"/>
      <c r="G67" s="9"/>
      <c r="H67" s="9"/>
      <c r="I67" s="9"/>
      <c r="J67" s="9"/>
      <c r="K67" s="9"/>
      <c r="L67" s="9"/>
      <c r="M67" s="9"/>
      <c r="N67" s="9"/>
      <c r="O67" s="9"/>
      <c r="R67" s="6"/>
      <c r="S67" s="6"/>
    </row>
    <row r="68" spans="1:19" s="8" customFormat="1" ht="76.5" x14ac:dyDescent="0.2">
      <c r="A68" s="6"/>
      <c r="B68" s="7" t="s">
        <v>91</v>
      </c>
      <c r="D68" s="6"/>
      <c r="G68" s="9"/>
      <c r="H68" s="9"/>
      <c r="I68" s="9"/>
      <c r="J68" s="9"/>
      <c r="K68" s="9"/>
      <c r="L68" s="9"/>
      <c r="M68" s="9"/>
      <c r="N68" s="9"/>
      <c r="O68" s="9"/>
      <c r="R68" s="6"/>
      <c r="S68" s="6"/>
    </row>
    <row r="69" spans="1:19" s="8" customFormat="1" x14ac:dyDescent="0.2">
      <c r="A69" s="6"/>
      <c r="B69" s="7"/>
      <c r="D69" s="6"/>
      <c r="G69" s="9"/>
      <c r="H69" s="9"/>
      <c r="I69" s="9"/>
      <c r="J69" s="9"/>
      <c r="K69" s="9"/>
      <c r="L69" s="9"/>
      <c r="M69" s="9"/>
      <c r="N69" s="9"/>
      <c r="O69" s="9"/>
      <c r="R69" s="6"/>
      <c r="S69" s="6"/>
    </row>
    <row r="70" spans="1:19" s="3" customFormat="1" x14ac:dyDescent="0.2">
      <c r="A70" s="4"/>
      <c r="B70" s="10" t="s">
        <v>21</v>
      </c>
      <c r="D70" s="4"/>
      <c r="G70" s="5"/>
      <c r="H70" s="5"/>
      <c r="I70" s="5"/>
      <c r="J70" s="5"/>
      <c r="K70" s="5"/>
      <c r="L70" s="5"/>
      <c r="M70" s="5"/>
      <c r="N70" s="5"/>
      <c r="O70" s="5"/>
      <c r="R70" s="4"/>
      <c r="S70" s="4"/>
    </row>
    <row r="71" spans="1:19" s="8" customFormat="1" ht="39.75" customHeight="1" x14ac:dyDescent="0.2">
      <c r="A71" s="6"/>
      <c r="B71" s="7" t="s">
        <v>88</v>
      </c>
      <c r="D71" s="6"/>
      <c r="G71" s="9"/>
      <c r="H71" s="9"/>
      <c r="I71" s="9"/>
      <c r="J71" s="9"/>
      <c r="K71" s="9"/>
      <c r="L71" s="9"/>
      <c r="M71" s="9"/>
      <c r="N71" s="9"/>
      <c r="O71" s="9"/>
      <c r="R71" s="6"/>
      <c r="S71" s="6"/>
    </row>
    <row r="72" spans="1:19" s="8" customFormat="1" ht="39.75" customHeight="1" x14ac:dyDescent="0.2">
      <c r="A72" s="6"/>
      <c r="B72" s="7" t="s">
        <v>90</v>
      </c>
      <c r="D72" s="6"/>
      <c r="G72" s="9"/>
      <c r="H72" s="9"/>
      <c r="I72" s="9"/>
      <c r="J72" s="9"/>
      <c r="K72" s="9"/>
      <c r="L72" s="9"/>
      <c r="M72" s="9"/>
      <c r="N72" s="9"/>
      <c r="O72" s="9"/>
      <c r="R72" s="6"/>
      <c r="S72" s="6"/>
    </row>
    <row r="73" spans="1:19" s="8" customFormat="1" ht="45" customHeight="1" x14ac:dyDescent="0.2">
      <c r="A73" s="6"/>
      <c r="B73" s="7" t="s">
        <v>82</v>
      </c>
      <c r="D73" s="6"/>
      <c r="G73" s="9"/>
      <c r="H73" s="9"/>
      <c r="I73" s="9"/>
      <c r="J73" s="9"/>
      <c r="K73" s="9"/>
      <c r="L73" s="9"/>
      <c r="M73" s="9"/>
      <c r="N73" s="9"/>
      <c r="O73" s="9"/>
      <c r="R73" s="6"/>
      <c r="S73" s="6"/>
    </row>
    <row r="74" spans="1:19" s="8" customFormat="1" x14ac:dyDescent="0.2">
      <c r="A74" s="6"/>
      <c r="B74" s="7"/>
      <c r="D74" s="6"/>
      <c r="G74" s="9"/>
      <c r="H74" s="9"/>
      <c r="I74" s="9"/>
      <c r="J74" s="9"/>
      <c r="K74" s="9"/>
      <c r="L74" s="9"/>
      <c r="M74" s="9"/>
      <c r="N74" s="9"/>
      <c r="O74" s="9"/>
      <c r="R74" s="6"/>
      <c r="S74" s="6"/>
    </row>
    <row r="75" spans="1:19" s="13" customFormat="1" x14ac:dyDescent="0.2">
      <c r="A75" s="11"/>
      <c r="B75" s="12" t="s">
        <v>22</v>
      </c>
      <c r="D75" s="11"/>
      <c r="G75" s="14"/>
      <c r="H75" s="14"/>
      <c r="I75" s="14"/>
      <c r="J75" s="14"/>
      <c r="K75" s="14"/>
      <c r="L75" s="14"/>
      <c r="M75" s="14"/>
      <c r="N75" s="14"/>
      <c r="O75" s="14"/>
      <c r="R75" s="11"/>
      <c r="S75" s="11"/>
    </row>
    <row r="76" spans="1:19" s="8" customFormat="1" x14ac:dyDescent="0.2">
      <c r="A76" s="6"/>
      <c r="B76" s="7"/>
      <c r="D76" s="6"/>
      <c r="G76" s="9"/>
      <c r="H76" s="9"/>
      <c r="I76" s="9"/>
      <c r="J76" s="9"/>
      <c r="K76" s="9"/>
      <c r="L76" s="9"/>
      <c r="M76" s="9"/>
      <c r="N76" s="9"/>
      <c r="O76" s="9"/>
      <c r="R76" s="6"/>
      <c r="S76" s="6"/>
    </row>
    <row r="77" spans="1:19" s="8" customFormat="1" ht="30" customHeight="1" x14ac:dyDescent="0.2">
      <c r="A77" s="6"/>
      <c r="B77" s="7" t="s">
        <v>83</v>
      </c>
      <c r="D77" s="6"/>
      <c r="G77" s="9"/>
      <c r="H77" s="9"/>
      <c r="I77" s="9"/>
      <c r="J77" s="9"/>
      <c r="K77" s="9"/>
      <c r="L77" s="9"/>
      <c r="M77" s="9"/>
      <c r="N77" s="9"/>
      <c r="O77" s="9"/>
      <c r="R77" s="6"/>
      <c r="S77" s="6"/>
    </row>
    <row r="78" spans="1:19" s="8" customFormat="1" x14ac:dyDescent="0.2">
      <c r="A78" s="6"/>
      <c r="B78" s="7"/>
      <c r="D78" s="6"/>
      <c r="G78" s="9"/>
      <c r="H78" s="9"/>
      <c r="I78" s="9"/>
      <c r="J78" s="9"/>
      <c r="K78" s="9"/>
      <c r="L78" s="9"/>
      <c r="M78" s="9"/>
      <c r="N78" s="9"/>
      <c r="O78" s="9"/>
      <c r="R78" s="6"/>
      <c r="S78" s="6"/>
    </row>
    <row r="79" spans="1:19" s="8" customFormat="1" ht="27" customHeight="1" x14ac:dyDescent="0.2">
      <c r="A79" s="6"/>
      <c r="B79" s="7" t="s">
        <v>87</v>
      </c>
      <c r="D79" s="6"/>
      <c r="G79" s="9"/>
      <c r="H79" s="9"/>
      <c r="I79" s="9"/>
      <c r="J79" s="9"/>
      <c r="K79" s="9"/>
      <c r="L79" s="9"/>
      <c r="M79" s="9"/>
      <c r="N79" s="9"/>
      <c r="O79" s="9"/>
      <c r="R79" s="6"/>
      <c r="S79" s="6"/>
    </row>
    <row r="80" spans="1:19" s="8" customFormat="1" x14ac:dyDescent="0.2">
      <c r="A80" s="6"/>
      <c r="B80" s="7"/>
      <c r="D80" s="6"/>
      <c r="G80" s="9"/>
      <c r="H80" s="9"/>
      <c r="I80" s="9"/>
      <c r="J80" s="9"/>
      <c r="K80" s="9"/>
      <c r="L80" s="9"/>
      <c r="M80" s="9"/>
      <c r="N80" s="9"/>
      <c r="O80" s="9"/>
      <c r="R80" s="6"/>
      <c r="S80" s="6"/>
    </row>
    <row r="81" spans="1:19" s="8" customFormat="1" ht="27" customHeight="1" x14ac:dyDescent="0.2">
      <c r="A81" s="6"/>
      <c r="B81" s="7" t="s">
        <v>89</v>
      </c>
      <c r="D81" s="6"/>
      <c r="G81" s="9"/>
      <c r="H81" s="9"/>
      <c r="I81" s="9"/>
      <c r="J81" s="9"/>
      <c r="K81" s="9"/>
      <c r="L81" s="9"/>
      <c r="M81" s="9"/>
      <c r="N81" s="9"/>
      <c r="O81" s="9"/>
      <c r="R81" s="6"/>
      <c r="S81" s="6"/>
    </row>
    <row r="82" spans="1:19" s="8" customFormat="1" x14ac:dyDescent="0.2">
      <c r="A82" s="6"/>
      <c r="B82" s="7"/>
      <c r="D82" s="6"/>
      <c r="G82" s="9"/>
      <c r="H82" s="9"/>
      <c r="I82" s="9"/>
      <c r="J82" s="9"/>
      <c r="K82" s="9"/>
      <c r="L82" s="9"/>
      <c r="M82" s="9"/>
      <c r="N82" s="9"/>
      <c r="O82" s="9"/>
      <c r="R82" s="6"/>
      <c r="S82" s="6"/>
    </row>
    <row r="83" spans="1:19" s="8" customFormat="1" ht="15.75" customHeight="1" x14ac:dyDescent="0.2">
      <c r="A83" s="6"/>
      <c r="B83" s="7"/>
      <c r="D83" s="6"/>
      <c r="G83" s="9"/>
      <c r="H83" s="9"/>
      <c r="I83" s="9"/>
      <c r="J83" s="9"/>
      <c r="K83" s="9"/>
      <c r="L83" s="9"/>
      <c r="M83" s="9"/>
      <c r="N83" s="9"/>
      <c r="O83" s="9"/>
      <c r="R83" s="6"/>
      <c r="S83" s="6"/>
    </row>
    <row r="84" spans="1:19" s="3" customFormat="1" x14ac:dyDescent="0.2">
      <c r="A84" s="1" t="s">
        <v>24</v>
      </c>
      <c r="B84" s="124"/>
      <c r="D84" s="4"/>
      <c r="G84" s="5"/>
      <c r="H84" s="5"/>
      <c r="I84" s="5"/>
      <c r="J84" s="5"/>
      <c r="K84" s="5"/>
      <c r="L84" s="5"/>
      <c r="M84" s="5"/>
      <c r="N84" s="5"/>
      <c r="O84" s="5"/>
      <c r="R84" s="4"/>
      <c r="S84" s="4"/>
    </row>
    <row r="85" spans="1:19" s="8" customFormat="1" x14ac:dyDescent="0.2">
      <c r="A85" s="6"/>
      <c r="B85" s="7"/>
      <c r="D85" s="6"/>
      <c r="G85" s="9"/>
      <c r="H85" s="9"/>
      <c r="I85" s="9"/>
      <c r="J85" s="9"/>
      <c r="K85" s="9"/>
      <c r="L85" s="9"/>
      <c r="M85" s="9"/>
      <c r="N85" s="9"/>
      <c r="O85" s="9"/>
      <c r="R85" s="6"/>
      <c r="S85" s="6"/>
    </row>
    <row r="86" spans="1:19" s="3" customFormat="1" ht="30" customHeight="1" x14ac:dyDescent="0.2">
      <c r="A86" s="4"/>
      <c r="B86" s="10" t="s">
        <v>130</v>
      </c>
      <c r="D86" s="4"/>
      <c r="E86" s="3" t="s">
        <v>77</v>
      </c>
      <c r="G86" s="5"/>
      <c r="H86" s="5"/>
      <c r="I86" s="5"/>
      <c r="J86" s="5"/>
      <c r="K86" s="5"/>
      <c r="L86" s="5"/>
      <c r="M86" s="5"/>
      <c r="N86" s="5"/>
      <c r="O86" s="5"/>
      <c r="R86" s="4"/>
      <c r="S86" s="4"/>
    </row>
    <row r="87" spans="1:19" s="8" customFormat="1" ht="15.75" customHeight="1" x14ac:dyDescent="0.2">
      <c r="A87" s="6"/>
      <c r="B87" s="7" t="s">
        <v>131</v>
      </c>
      <c r="D87" s="6"/>
      <c r="G87" s="9"/>
      <c r="H87" s="9"/>
      <c r="I87" s="9"/>
      <c r="J87" s="9"/>
      <c r="K87" s="9"/>
      <c r="L87" s="9"/>
      <c r="M87" s="9"/>
      <c r="N87" s="9"/>
      <c r="O87" s="9"/>
      <c r="R87" s="6"/>
      <c r="S87" s="6"/>
    </row>
    <row r="88" spans="1:19" s="3" customFormat="1" ht="30" customHeight="1" x14ac:dyDescent="0.2">
      <c r="A88" s="4"/>
      <c r="B88" s="7" t="s">
        <v>27</v>
      </c>
      <c r="D88" s="4"/>
      <c r="G88" s="5"/>
      <c r="H88" s="5"/>
      <c r="I88" s="5"/>
      <c r="J88" s="5"/>
      <c r="K88" s="5"/>
      <c r="L88" s="5"/>
      <c r="M88" s="5"/>
      <c r="N88" s="5"/>
      <c r="O88" s="5"/>
      <c r="R88" s="4"/>
      <c r="S88" s="4"/>
    </row>
    <row r="89" spans="1:19" s="8" customFormat="1" ht="15" customHeight="1" x14ac:dyDescent="0.2">
      <c r="A89" s="6"/>
      <c r="B89" s="7" t="s">
        <v>28</v>
      </c>
      <c r="D89" s="6"/>
      <c r="G89" s="9"/>
      <c r="H89" s="9"/>
      <c r="I89" s="9"/>
      <c r="J89" s="9"/>
      <c r="K89" s="9"/>
      <c r="L89" s="9"/>
      <c r="M89" s="9"/>
      <c r="N89" s="9"/>
      <c r="O89" s="9"/>
      <c r="R89" s="6"/>
      <c r="S89" s="6"/>
    </row>
    <row r="90" spans="1:19" s="8" customFormat="1" ht="15" customHeight="1" x14ac:dyDescent="0.2">
      <c r="A90" s="6"/>
      <c r="B90" s="7"/>
      <c r="D90" s="6"/>
      <c r="G90" s="9"/>
      <c r="H90" s="9"/>
      <c r="I90" s="9"/>
      <c r="J90" s="9"/>
      <c r="K90" s="9"/>
      <c r="L90" s="9"/>
      <c r="M90" s="9"/>
      <c r="N90" s="9"/>
      <c r="O90" s="9"/>
      <c r="R90" s="6"/>
      <c r="S90" s="6"/>
    </row>
    <row r="91" spans="1:19" s="3" customFormat="1" ht="15.75" customHeight="1" x14ac:dyDescent="0.2">
      <c r="A91" s="4"/>
      <c r="B91" s="10" t="s">
        <v>132</v>
      </c>
      <c r="D91" s="4"/>
      <c r="G91" s="5"/>
      <c r="H91" s="5"/>
      <c r="I91" s="5"/>
      <c r="J91" s="5"/>
      <c r="K91" s="5"/>
      <c r="L91" s="5"/>
      <c r="M91" s="5"/>
      <c r="N91" s="5"/>
      <c r="O91" s="5"/>
      <c r="R91" s="4"/>
      <c r="S91" s="4"/>
    </row>
    <row r="92" spans="1:19" s="8" customFormat="1" x14ac:dyDescent="0.2">
      <c r="A92" s="6"/>
      <c r="B92" s="7"/>
      <c r="D92" s="6"/>
      <c r="G92" s="9"/>
      <c r="H92" s="9"/>
      <c r="I92" s="9"/>
      <c r="J92" s="9"/>
      <c r="K92" s="9"/>
      <c r="L92" s="9"/>
      <c r="M92" s="9"/>
      <c r="N92" s="9"/>
      <c r="O92" s="9"/>
      <c r="R92" s="6"/>
      <c r="S92" s="6"/>
    </row>
    <row r="93" spans="1:19" s="3" customFormat="1" x14ac:dyDescent="0.2">
      <c r="A93" s="4"/>
      <c r="B93" s="10" t="s">
        <v>133</v>
      </c>
      <c r="D93" s="4"/>
      <c r="G93" s="5"/>
      <c r="H93" s="5"/>
      <c r="I93" s="5"/>
      <c r="J93" s="5"/>
      <c r="K93" s="5"/>
      <c r="L93" s="5"/>
      <c r="M93" s="5"/>
      <c r="N93" s="5"/>
      <c r="O93" s="5"/>
      <c r="R93" s="4"/>
      <c r="S93" s="4"/>
    </row>
    <row r="94" spans="1:19" s="8" customFormat="1" ht="30" customHeight="1" x14ac:dyDescent="0.2">
      <c r="A94" s="6"/>
      <c r="B94" s="7" t="s">
        <v>29</v>
      </c>
      <c r="D94" s="6"/>
      <c r="G94" s="9"/>
      <c r="H94" s="9"/>
      <c r="I94" s="9"/>
      <c r="J94" s="9"/>
      <c r="K94" s="9"/>
      <c r="L94" s="9"/>
      <c r="M94" s="9"/>
      <c r="N94" s="9"/>
      <c r="O94" s="9"/>
      <c r="R94" s="6"/>
      <c r="S94" s="6"/>
    </row>
    <row r="95" spans="1:19" s="8" customFormat="1" x14ac:dyDescent="0.2">
      <c r="A95" s="6"/>
      <c r="B95" s="7" t="s">
        <v>30</v>
      </c>
      <c r="D95" s="6"/>
      <c r="G95" s="9"/>
      <c r="H95" s="9"/>
      <c r="I95" s="9"/>
      <c r="J95" s="9"/>
      <c r="K95" s="9"/>
      <c r="L95" s="9"/>
      <c r="M95" s="9"/>
      <c r="N95" s="9"/>
      <c r="O95" s="9"/>
      <c r="R95" s="6"/>
      <c r="S95" s="6"/>
    </row>
    <row r="96" spans="1:19" s="8" customFormat="1" x14ac:dyDescent="0.2">
      <c r="A96" s="6"/>
      <c r="B96" s="7"/>
      <c r="D96" s="6"/>
      <c r="G96" s="9"/>
      <c r="H96" s="9"/>
      <c r="I96" s="9"/>
      <c r="J96" s="9"/>
      <c r="K96" s="9"/>
      <c r="L96" s="9"/>
      <c r="M96" s="9"/>
      <c r="N96" s="9"/>
      <c r="O96" s="9"/>
      <c r="R96" s="6"/>
      <c r="S96" s="6"/>
    </row>
    <row r="97" spans="1:174" s="3" customFormat="1" x14ac:dyDescent="0.2">
      <c r="A97" s="4"/>
      <c r="B97" s="10" t="s">
        <v>31</v>
      </c>
      <c r="D97" s="4"/>
      <c r="G97" s="5"/>
      <c r="H97" s="5"/>
      <c r="I97" s="5"/>
      <c r="J97" s="5"/>
      <c r="K97" s="5"/>
      <c r="L97" s="5"/>
      <c r="M97" s="5"/>
      <c r="N97" s="5"/>
      <c r="O97" s="5"/>
      <c r="R97" s="4"/>
      <c r="S97" s="4"/>
    </row>
    <row r="98" spans="1:174" s="8" customFormat="1" ht="14.25" customHeight="1" x14ac:dyDescent="0.2">
      <c r="A98" s="6"/>
      <c r="B98" s="7" t="s">
        <v>32</v>
      </c>
      <c r="D98" s="6"/>
      <c r="G98" s="9"/>
      <c r="H98" s="9"/>
      <c r="I98" s="9"/>
      <c r="J98" s="9"/>
      <c r="K98" s="9"/>
      <c r="L98" s="9"/>
      <c r="M98" s="9"/>
      <c r="N98" s="9"/>
      <c r="O98" s="9"/>
      <c r="R98" s="6"/>
      <c r="S98" s="6"/>
      <c r="EN98" s="117"/>
    </row>
    <row r="99" spans="1:174" s="8" customFormat="1" x14ac:dyDescent="0.2">
      <c r="A99" s="6"/>
      <c r="B99" s="7"/>
      <c r="D99" s="6"/>
      <c r="G99" s="9"/>
      <c r="H99" s="9"/>
      <c r="I99" s="9"/>
      <c r="J99" s="9"/>
      <c r="K99" s="9"/>
      <c r="L99" s="9"/>
      <c r="M99" s="9"/>
      <c r="N99" s="9"/>
      <c r="O99" s="9"/>
      <c r="R99" s="6"/>
      <c r="S99" s="6"/>
      <c r="EN99" s="117"/>
    </row>
    <row r="100" spans="1:174" s="3" customFormat="1" x14ac:dyDescent="0.2">
      <c r="A100" s="4"/>
      <c r="B100" s="10" t="s">
        <v>33</v>
      </c>
      <c r="D100" s="4"/>
      <c r="G100" s="5"/>
      <c r="H100" s="5"/>
      <c r="I100" s="5"/>
      <c r="J100" s="5"/>
      <c r="K100" s="5"/>
      <c r="L100" s="5"/>
      <c r="M100" s="5"/>
      <c r="N100" s="5"/>
      <c r="O100" s="5"/>
      <c r="R100" s="4"/>
      <c r="S100" s="4"/>
      <c r="W100" s="123" t="s">
        <v>122</v>
      </c>
      <c r="X100" s="123"/>
      <c r="Y100" s="123"/>
      <c r="Z100" s="123"/>
      <c r="AA100" s="123"/>
      <c r="AB100" s="123"/>
      <c r="AC100" s="123"/>
      <c r="AD100" s="123"/>
      <c r="AE100" s="123"/>
      <c r="AF100" s="123"/>
      <c r="AG100" s="123"/>
      <c r="AH100" s="123"/>
      <c r="AI100" s="123"/>
      <c r="AJ100" s="123"/>
      <c r="AK100" s="123"/>
      <c r="AL100" s="123"/>
      <c r="AM100" s="123"/>
      <c r="AN100" s="123"/>
      <c r="AO100" s="123"/>
      <c r="AP100" s="123"/>
      <c r="AQ100" s="123"/>
      <c r="AR100" s="123"/>
      <c r="AS100" s="123"/>
      <c r="AT100" s="123"/>
      <c r="AU100" s="123"/>
      <c r="AV100" s="123"/>
      <c r="AW100" s="123"/>
      <c r="AX100" s="123"/>
      <c r="AY100" s="123"/>
      <c r="AZ100" s="123"/>
      <c r="BA100" s="123"/>
      <c r="BB100" s="123"/>
      <c r="BC100" s="123"/>
      <c r="BD100" s="123"/>
      <c r="BE100" s="123"/>
      <c r="BF100" s="123"/>
      <c r="BG100" s="123"/>
      <c r="BH100" s="123"/>
      <c r="BI100" s="123"/>
      <c r="BJ100" s="123"/>
      <c r="BK100" s="123"/>
      <c r="BL100" s="123"/>
      <c r="BM100" s="123"/>
      <c r="BN100" s="123"/>
      <c r="BO100" s="123"/>
      <c r="BP100" s="123"/>
      <c r="BQ100" s="123"/>
      <c r="BR100" s="123"/>
      <c r="BS100" s="123"/>
      <c r="BT100" s="123"/>
      <c r="BU100" s="123"/>
      <c r="BV100" s="123"/>
      <c r="BW100" s="123"/>
      <c r="BX100" s="123"/>
      <c r="BY100" s="123"/>
      <c r="BZ100" s="123"/>
      <c r="CA100" s="123"/>
      <c r="CB100" s="123"/>
      <c r="CC100" s="123"/>
      <c r="CD100" s="123"/>
      <c r="CE100" s="123"/>
      <c r="CF100" s="123"/>
      <c r="CG100" s="123"/>
      <c r="CH100" s="123"/>
      <c r="CI100" s="123"/>
      <c r="CJ100" s="123"/>
      <c r="CK100" s="123"/>
      <c r="CL100" s="123"/>
      <c r="CM100" s="123"/>
      <c r="CN100" s="123"/>
      <c r="CO100" s="123"/>
      <c r="CP100" s="123"/>
      <c r="CQ100" s="123"/>
      <c r="CR100" s="123"/>
      <c r="CS100" s="123"/>
      <c r="CT100" s="123"/>
      <c r="CU100" s="123"/>
      <c r="CV100" s="123"/>
      <c r="CW100" s="123"/>
      <c r="CX100" s="123"/>
      <c r="CY100" s="123"/>
      <c r="CZ100" s="123"/>
      <c r="DA100" s="123"/>
      <c r="DB100" s="123"/>
      <c r="DC100" s="123"/>
      <c r="DD100" s="123"/>
      <c r="DE100" s="123"/>
      <c r="DF100" s="123"/>
      <c r="DG100" s="123"/>
      <c r="DH100" s="123"/>
      <c r="DI100" s="123"/>
      <c r="DJ100" s="123"/>
      <c r="DK100" s="123"/>
      <c r="DL100" s="123"/>
      <c r="DM100" s="123"/>
      <c r="DN100" s="123"/>
      <c r="DO100" s="123"/>
      <c r="DP100" s="117"/>
    </row>
    <row r="101" spans="1:174" s="8" customFormat="1" ht="30" customHeight="1" x14ac:dyDescent="0.2">
      <c r="A101" s="6"/>
      <c r="B101" s="7" t="s">
        <v>34</v>
      </c>
      <c r="D101" s="6"/>
      <c r="G101" s="9"/>
      <c r="H101" s="9"/>
      <c r="I101" s="9"/>
      <c r="J101" s="9"/>
      <c r="K101" s="9"/>
      <c r="L101" s="9"/>
      <c r="M101" s="9"/>
      <c r="N101" s="9"/>
      <c r="O101" s="122"/>
      <c r="R101" s="6"/>
      <c r="S101" s="6"/>
      <c r="DP101" s="117"/>
    </row>
    <row r="102" spans="1:174" x14ac:dyDescent="0.2">
      <c r="DP102" s="118"/>
    </row>
    <row r="103" spans="1:174" x14ac:dyDescent="0.2">
      <c r="C103" s="18" t="s">
        <v>35</v>
      </c>
      <c r="U103" s="18" t="s">
        <v>36</v>
      </c>
      <c r="V103" s="18"/>
      <c r="DP103" s="118"/>
      <c r="DQ103" s="18"/>
      <c r="FM103" s="18" t="s">
        <v>35</v>
      </c>
      <c r="FN103" s="124"/>
    </row>
    <row r="104" spans="1:174" s="21" customFormat="1" ht="15.75" customHeight="1" x14ac:dyDescent="0.2">
      <c r="A104" s="19"/>
      <c r="B104" s="20"/>
      <c r="C104" s="18" t="s">
        <v>37</v>
      </c>
      <c r="D104" s="19"/>
      <c r="G104" s="22"/>
      <c r="H104" s="22"/>
      <c r="I104" s="22"/>
      <c r="J104" s="22"/>
      <c r="K104" s="22"/>
      <c r="L104" s="22"/>
      <c r="M104" s="22"/>
      <c r="N104" s="22"/>
      <c r="O104" s="22"/>
      <c r="R104" s="19"/>
      <c r="S104" s="19"/>
      <c r="T104" s="2"/>
      <c r="U104" s="18" t="s">
        <v>38</v>
      </c>
      <c r="V104" s="18"/>
      <c r="DP104" s="118"/>
      <c r="DQ104" s="131"/>
      <c r="DR104" s="128"/>
      <c r="DS104" s="128"/>
      <c r="DT104" s="128"/>
      <c r="DU104" s="128"/>
      <c r="DV104" s="128"/>
      <c r="DW104" s="128"/>
      <c r="DX104" s="128"/>
      <c r="DY104" s="128"/>
      <c r="DZ104" s="128"/>
      <c r="EA104" s="128"/>
      <c r="EB104" s="128"/>
      <c r="EC104" s="128"/>
      <c r="ED104" s="128"/>
      <c r="EE104" s="128"/>
      <c r="EF104" s="128"/>
      <c r="EG104" s="128"/>
      <c r="EH104" s="128"/>
      <c r="EI104" s="128"/>
      <c r="EJ104" s="128"/>
      <c r="EK104" s="128"/>
      <c r="EL104" s="128"/>
      <c r="EM104" s="128"/>
      <c r="EN104" s="128"/>
      <c r="EO104" s="128"/>
      <c r="EP104" s="128"/>
      <c r="EQ104" s="128"/>
      <c r="ER104" s="128"/>
      <c r="ES104" s="128"/>
      <c r="ET104" s="128"/>
      <c r="EU104" s="128"/>
      <c r="EV104" s="128"/>
      <c r="EW104" s="128"/>
      <c r="EX104" s="128"/>
      <c r="EY104" s="128"/>
      <c r="EZ104" s="128"/>
      <c r="FA104" s="128"/>
      <c r="FB104" s="128"/>
      <c r="FC104" s="128"/>
      <c r="FD104" s="128"/>
      <c r="FE104" s="128"/>
      <c r="FF104" s="128"/>
      <c r="FG104" s="128"/>
      <c r="FH104" s="128"/>
      <c r="FI104" s="128"/>
      <c r="FJ104" s="128"/>
      <c r="FK104" s="128"/>
      <c r="FL104" s="128"/>
      <c r="FM104" s="131"/>
      <c r="FN104" s="128"/>
      <c r="FO104" s="128"/>
      <c r="FP104" s="128"/>
      <c r="FQ104" s="128"/>
      <c r="FR104" s="128"/>
    </row>
    <row r="105" spans="1:174" s="21" customFormat="1" ht="15.75" customHeight="1" x14ac:dyDescent="0.2">
      <c r="A105" s="19"/>
      <c r="B105" s="20"/>
      <c r="C105" s="18" t="s">
        <v>39</v>
      </c>
      <c r="D105" s="19"/>
      <c r="G105" s="22"/>
      <c r="H105" s="22"/>
      <c r="I105" s="22"/>
      <c r="J105" s="22"/>
      <c r="K105" s="22"/>
      <c r="L105" s="22"/>
      <c r="M105" s="22"/>
      <c r="N105" s="22"/>
      <c r="O105" s="22"/>
      <c r="R105" s="19"/>
      <c r="S105" s="19"/>
      <c r="T105" s="2"/>
      <c r="U105" s="18" t="str">
        <f>C105</f>
        <v>Maroon Line Extension Ridership Forecasts</v>
      </c>
      <c r="V105" s="18"/>
      <c r="DP105" s="118"/>
      <c r="DQ105" s="131"/>
      <c r="DR105" s="128"/>
      <c r="DS105" s="128"/>
      <c r="DT105" s="128"/>
      <c r="DU105" s="128"/>
      <c r="DV105" s="128"/>
      <c r="DW105" s="128"/>
      <c r="DX105" s="128"/>
      <c r="DY105" s="128"/>
      <c r="DZ105" s="128"/>
      <c r="EA105" s="128"/>
      <c r="EB105" s="128"/>
      <c r="EC105" s="128"/>
      <c r="ED105" s="128"/>
      <c r="EE105" s="128"/>
      <c r="EF105" s="128"/>
      <c r="EG105" s="128"/>
      <c r="EH105" s="128"/>
      <c r="EI105" s="128"/>
      <c r="EJ105" s="128"/>
      <c r="EK105" s="128"/>
      <c r="EL105" s="128"/>
      <c r="EM105" s="128"/>
      <c r="EN105" s="128"/>
      <c r="EO105" s="128"/>
      <c r="EP105" s="128"/>
      <c r="EQ105" s="128"/>
      <c r="ER105" s="128"/>
      <c r="ES105" s="128"/>
      <c r="ET105" s="128"/>
      <c r="EU105" s="128"/>
      <c r="EV105" s="128"/>
      <c r="EW105" s="128"/>
      <c r="EX105" s="128"/>
      <c r="EY105" s="128"/>
      <c r="EZ105" s="128"/>
      <c r="FA105" s="128"/>
      <c r="FB105" s="128"/>
      <c r="FC105" s="128"/>
      <c r="FD105" s="128"/>
      <c r="FE105" s="128"/>
      <c r="FF105" s="128"/>
      <c r="FG105" s="128"/>
      <c r="FH105" s="128"/>
      <c r="FI105" s="128"/>
      <c r="FJ105" s="128"/>
      <c r="FK105" s="128"/>
      <c r="FL105" s="128"/>
      <c r="FM105" s="131"/>
      <c r="FN105" s="128"/>
      <c r="FO105" s="128"/>
      <c r="FP105" s="128"/>
      <c r="FQ105" s="128"/>
      <c r="FR105" s="128"/>
    </row>
    <row r="106" spans="1:174" s="18" customFormat="1" ht="18" customHeight="1" x14ac:dyDescent="0.2">
      <c r="A106" s="23"/>
      <c r="B106" s="24"/>
      <c r="C106" s="21"/>
      <c r="D106" s="23"/>
      <c r="G106" s="17"/>
      <c r="H106" s="17"/>
      <c r="I106" s="17"/>
      <c r="J106" s="17"/>
      <c r="K106" s="17"/>
      <c r="L106" s="17"/>
      <c r="M106" s="17"/>
      <c r="N106" s="17"/>
      <c r="O106" s="17"/>
      <c r="P106" s="2"/>
      <c r="Q106" s="2"/>
      <c r="R106" s="15"/>
      <c r="S106" s="15"/>
      <c r="DP106" s="119"/>
      <c r="DQ106" s="131"/>
      <c r="DR106" s="131"/>
      <c r="DS106" s="131"/>
      <c r="DT106" s="131"/>
      <c r="DU106" s="131"/>
      <c r="DV106" s="131"/>
      <c r="DW106" s="131"/>
      <c r="DX106" s="131"/>
      <c r="DY106" s="131"/>
      <c r="DZ106" s="131"/>
      <c r="EA106" s="131"/>
      <c r="EB106" s="131"/>
      <c r="EC106" s="131"/>
      <c r="ED106" s="131"/>
      <c r="EE106" s="131"/>
      <c r="EF106" s="131"/>
      <c r="EG106" s="131"/>
      <c r="EH106" s="131"/>
      <c r="EI106" s="131"/>
      <c r="EJ106" s="131"/>
      <c r="EK106" s="131"/>
      <c r="EL106" s="131"/>
      <c r="EM106" s="131"/>
      <c r="EN106" s="131"/>
      <c r="EO106" s="131"/>
      <c r="EP106" s="131"/>
      <c r="EQ106" s="131"/>
      <c r="ER106" s="131"/>
      <c r="ES106" s="131"/>
      <c r="ET106" s="131"/>
      <c r="EU106" s="131"/>
      <c r="EV106" s="131"/>
      <c r="EW106" s="131"/>
      <c r="EX106" s="131"/>
      <c r="EY106" s="131"/>
      <c r="EZ106" s="131"/>
      <c r="FA106" s="131"/>
      <c r="FB106" s="131"/>
      <c r="FC106" s="131"/>
      <c r="FD106" s="131"/>
      <c r="FE106" s="131"/>
      <c r="FF106" s="131"/>
      <c r="FG106" s="131"/>
      <c r="FH106" s="131"/>
      <c r="FI106" s="131"/>
      <c r="FJ106" s="131"/>
      <c r="FK106" s="131"/>
      <c r="FL106" s="131"/>
      <c r="FM106" s="131"/>
      <c r="FN106" s="131"/>
      <c r="FO106" s="131"/>
      <c r="FP106" s="131"/>
      <c r="FQ106" s="131"/>
      <c r="FR106" s="131"/>
    </row>
    <row r="107" spans="1:174" ht="15.75" customHeight="1" x14ac:dyDescent="0.2">
      <c r="C107" s="25" t="s">
        <v>40</v>
      </c>
      <c r="D107" s="26"/>
      <c r="E107" s="27"/>
      <c r="F107" s="27"/>
      <c r="G107" s="28"/>
      <c r="H107" s="28"/>
      <c r="I107" s="28"/>
      <c r="J107" s="28"/>
      <c r="K107" s="28"/>
      <c r="L107" s="28"/>
      <c r="M107" s="28"/>
      <c r="N107" s="28"/>
      <c r="O107" s="28"/>
      <c r="P107" s="27"/>
      <c r="Q107" s="27"/>
      <c r="R107" s="26"/>
      <c r="S107" s="92"/>
      <c r="T107" s="29">
        <f>S123</f>
        <v>149084</v>
      </c>
      <c r="DP107" s="118"/>
      <c r="DQ107" s="128"/>
      <c r="DR107" s="128"/>
      <c r="DS107" s="128"/>
      <c r="DT107" s="128"/>
      <c r="DU107" s="128"/>
      <c r="DV107" s="128"/>
      <c r="DW107" s="128"/>
      <c r="DX107" s="128"/>
      <c r="DY107" s="128"/>
      <c r="DZ107" s="128"/>
      <c r="EA107" s="128"/>
      <c r="EB107" s="128"/>
      <c r="EC107" s="128"/>
      <c r="ED107" s="128"/>
      <c r="EE107" s="128"/>
      <c r="EF107" s="128"/>
      <c r="EG107" s="128"/>
      <c r="EH107" s="128"/>
      <c r="EI107" s="128"/>
      <c r="EJ107" s="132"/>
      <c r="EK107" s="128"/>
      <c r="EL107" s="128"/>
      <c r="EM107" s="128"/>
      <c r="EN107" s="128"/>
      <c r="EO107" s="128"/>
      <c r="EP107" s="128"/>
      <c r="EQ107" s="128"/>
      <c r="ER107" s="128"/>
      <c r="ES107" s="128"/>
      <c r="ET107" s="128"/>
      <c r="EU107" s="128"/>
      <c r="EV107" s="128"/>
      <c r="EW107" s="128"/>
      <c r="EX107" s="128"/>
      <c r="EY107" s="128"/>
      <c r="EZ107" s="128"/>
      <c r="FA107" s="128"/>
      <c r="FB107" s="128"/>
      <c r="FC107" s="128"/>
      <c r="FD107" s="128"/>
      <c r="FE107" s="128"/>
      <c r="FF107" s="128"/>
      <c r="FG107" s="128"/>
      <c r="FH107" s="128"/>
      <c r="FI107" s="128"/>
      <c r="FJ107" s="128"/>
      <c r="FK107" s="128"/>
      <c r="FL107" s="128"/>
      <c r="FM107" s="128"/>
      <c r="FN107" s="128"/>
      <c r="FO107" s="128"/>
      <c r="FP107" s="128"/>
      <c r="FQ107" s="128"/>
      <c r="FR107" s="128"/>
    </row>
    <row r="108" spans="1:174" ht="15.75" customHeight="1" x14ac:dyDescent="0.2">
      <c r="C108" s="15"/>
      <c r="D108" s="2"/>
      <c r="F108" s="17"/>
      <c r="O108" s="2"/>
      <c r="Q108" s="15"/>
      <c r="R108" s="30"/>
      <c r="S108" s="2"/>
      <c r="DP108" s="118"/>
      <c r="DQ108" s="128"/>
      <c r="DR108" s="128"/>
      <c r="DS108" s="128"/>
      <c r="DT108" s="128"/>
      <c r="DU108" s="128"/>
      <c r="DV108" s="128"/>
      <c r="DW108" s="128"/>
      <c r="DX108" s="128"/>
      <c r="DY108" s="128"/>
      <c r="DZ108" s="128"/>
      <c r="EA108" s="128"/>
      <c r="EB108" s="128"/>
      <c r="EC108" s="128"/>
      <c r="ED108" s="128"/>
      <c r="EE108" s="128"/>
      <c r="EF108" s="128"/>
      <c r="EG108" s="128"/>
      <c r="EH108" s="128"/>
      <c r="EI108" s="132"/>
      <c r="EJ108" s="128"/>
      <c r="EK108" s="128"/>
      <c r="EL108" s="128"/>
      <c r="EM108" s="128"/>
      <c r="EN108" s="128"/>
      <c r="EO108" s="128"/>
      <c r="EP108" s="128"/>
      <c r="EQ108" s="128"/>
      <c r="ER108" s="128"/>
      <c r="ES108" s="128"/>
      <c r="ET108" s="128"/>
      <c r="EU108" s="128"/>
      <c r="EV108" s="128"/>
      <c r="EW108" s="128"/>
      <c r="EX108" s="128"/>
      <c r="EY108" s="128"/>
      <c r="EZ108" s="128"/>
      <c r="FA108" s="128"/>
      <c r="FB108" s="128"/>
      <c r="FC108" s="128"/>
      <c r="FD108" s="128"/>
      <c r="FE108" s="128"/>
      <c r="FF108" s="128"/>
      <c r="FG108" s="128"/>
      <c r="FH108" s="128"/>
      <c r="FI108" s="128"/>
      <c r="FJ108" s="128"/>
      <c r="FK108" s="128"/>
      <c r="FL108" s="128"/>
      <c r="FM108" s="128"/>
      <c r="FN108" s="128"/>
      <c r="FO108" s="128"/>
      <c r="FP108" s="128"/>
      <c r="FQ108" s="128"/>
      <c r="FR108" s="128"/>
    </row>
    <row r="109" spans="1:174" ht="16.5" x14ac:dyDescent="0.3">
      <c r="C109" s="140" t="s">
        <v>45</v>
      </c>
      <c r="D109" s="141"/>
      <c r="E109" s="142"/>
      <c r="F109" s="31" t="s">
        <v>41</v>
      </c>
      <c r="G109" s="32"/>
      <c r="H109" s="32"/>
      <c r="I109" s="32"/>
      <c r="J109" s="32"/>
      <c r="K109" s="32"/>
      <c r="L109" s="32"/>
      <c r="M109" s="32"/>
      <c r="N109" s="32"/>
      <c r="O109" s="33"/>
      <c r="P109" s="32"/>
      <c r="Q109" s="34" t="s">
        <v>42</v>
      </c>
      <c r="R109" s="34" t="s">
        <v>43</v>
      </c>
      <c r="S109" s="35" t="s">
        <v>44</v>
      </c>
      <c r="T109" s="36"/>
      <c r="U109" s="140" t="s">
        <v>45</v>
      </c>
      <c r="V109" s="146"/>
      <c r="W109" s="142"/>
      <c r="X109" s="151" t="s">
        <v>120</v>
      </c>
      <c r="Y109" s="151"/>
      <c r="Z109" s="151"/>
      <c r="AA109" s="151"/>
      <c r="AB109" s="151"/>
      <c r="AC109" s="151"/>
      <c r="AD109" s="151"/>
      <c r="AE109" s="151"/>
      <c r="AF109" s="151"/>
      <c r="AG109" s="151"/>
      <c r="AH109" s="151"/>
      <c r="AI109" s="151"/>
      <c r="AJ109" s="151"/>
      <c r="AK109" s="151"/>
      <c r="AL109" s="151"/>
      <c r="AM109" s="151"/>
      <c r="AN109" s="151"/>
      <c r="AO109" s="151"/>
      <c r="AP109" s="151"/>
      <c r="AQ109" s="151"/>
      <c r="AR109" s="151"/>
      <c r="AS109" s="151"/>
      <c r="AT109" s="151"/>
      <c r="AU109" s="151"/>
      <c r="AV109" s="151"/>
      <c r="AW109" s="151"/>
      <c r="AX109" s="151"/>
      <c r="AY109" s="151"/>
      <c r="AZ109" s="151"/>
      <c r="BA109" s="151"/>
      <c r="BB109" s="151"/>
      <c r="BC109" s="151"/>
      <c r="BD109" s="151"/>
      <c r="BE109" s="151"/>
      <c r="BF109" s="151"/>
      <c r="BG109" s="151"/>
      <c r="BH109" s="151"/>
      <c r="BI109" s="151"/>
      <c r="BJ109" s="151"/>
      <c r="BK109" s="151"/>
      <c r="BL109" s="151"/>
      <c r="BM109" s="151"/>
      <c r="BN109" s="151"/>
      <c r="BO109" s="151"/>
      <c r="BP109" s="151"/>
      <c r="BQ109" s="151"/>
      <c r="BR109" s="151"/>
      <c r="BS109" s="151"/>
      <c r="BT109" s="151"/>
      <c r="BU109" s="151"/>
      <c r="BV109" s="151"/>
      <c r="BW109" s="151"/>
      <c r="BX109" s="151"/>
      <c r="BY109" s="151"/>
      <c r="BZ109" s="151"/>
      <c r="CA109" s="151"/>
      <c r="CB109" s="151"/>
      <c r="CC109" s="151"/>
      <c r="CD109" s="151"/>
      <c r="CE109" s="151"/>
      <c r="CF109" s="151"/>
      <c r="CG109" s="151"/>
      <c r="CH109" s="151"/>
      <c r="CI109" s="151"/>
      <c r="CJ109" s="151"/>
      <c r="CK109" s="151"/>
      <c r="CL109" s="151"/>
      <c r="CM109" s="151"/>
      <c r="CN109" s="151"/>
      <c r="CO109" s="151"/>
      <c r="CP109" s="151"/>
      <c r="CQ109" s="151"/>
      <c r="CR109" s="151"/>
      <c r="CS109" s="151"/>
      <c r="CT109" s="151"/>
      <c r="CU109" s="151"/>
      <c r="CV109" s="151"/>
      <c r="CW109" s="151"/>
      <c r="CX109" s="151"/>
      <c r="CY109" s="151"/>
      <c r="CZ109" s="151"/>
      <c r="DA109" s="151"/>
      <c r="DB109" s="151"/>
      <c r="DC109" s="151"/>
      <c r="DD109" s="151"/>
      <c r="DE109" s="151"/>
      <c r="DF109" s="151"/>
      <c r="DG109" s="151"/>
      <c r="DH109" s="151"/>
      <c r="DI109" s="151"/>
      <c r="DJ109" s="151"/>
      <c r="DK109" s="151"/>
      <c r="DL109" s="151"/>
      <c r="DM109" s="151"/>
      <c r="DN109" s="151"/>
      <c r="DO109" s="151"/>
      <c r="DP109" s="129"/>
      <c r="DQ109" s="128"/>
      <c r="DR109" s="128"/>
      <c r="DS109" s="132"/>
      <c r="DT109" s="132"/>
      <c r="DU109" s="132"/>
      <c r="DV109" s="132"/>
      <c r="DW109" s="132"/>
      <c r="DX109" s="132"/>
      <c r="DY109" s="132"/>
      <c r="DZ109" s="132"/>
      <c r="EA109" s="132"/>
      <c r="EB109" s="132"/>
      <c r="EC109" s="132"/>
      <c r="ED109" s="132"/>
      <c r="EE109" s="132"/>
      <c r="EF109" s="132"/>
      <c r="EG109" s="132"/>
      <c r="EH109" s="132"/>
      <c r="EI109" s="132"/>
      <c r="EJ109" s="132"/>
      <c r="EK109" s="132"/>
      <c r="EL109" s="132"/>
      <c r="EM109" s="132"/>
      <c r="EN109" s="132"/>
      <c r="EO109" s="132"/>
      <c r="EP109" s="132"/>
      <c r="EQ109" s="132"/>
      <c r="ER109" s="132"/>
      <c r="ES109" s="132"/>
      <c r="ET109" s="132"/>
      <c r="EU109" s="132"/>
      <c r="EV109" s="132"/>
      <c r="EW109" s="132"/>
      <c r="EX109" s="132"/>
      <c r="EY109" s="132"/>
      <c r="EZ109" s="132"/>
      <c r="FA109" s="132"/>
      <c r="FB109" s="132"/>
      <c r="FC109" s="132"/>
      <c r="FD109" s="132"/>
      <c r="FE109" s="132"/>
      <c r="FF109" s="132"/>
      <c r="FG109" s="132"/>
      <c r="FH109" s="132"/>
      <c r="FI109" s="132"/>
      <c r="FJ109" s="132"/>
      <c r="FK109" s="132"/>
      <c r="FL109" s="132"/>
      <c r="FM109" s="128"/>
      <c r="FN109" s="128"/>
      <c r="FO109" s="128"/>
      <c r="FP109" s="128"/>
      <c r="FQ109" s="128"/>
      <c r="FR109" s="128"/>
    </row>
    <row r="110" spans="1:174" ht="16.5" customHeight="1" x14ac:dyDescent="0.3">
      <c r="C110" s="143"/>
      <c r="D110" s="144"/>
      <c r="E110" s="145"/>
      <c r="F110" s="37"/>
      <c r="G110" s="38" t="s">
        <v>46</v>
      </c>
      <c r="H110" s="38" t="s">
        <v>47</v>
      </c>
      <c r="I110" s="38" t="s">
        <v>48</v>
      </c>
      <c r="J110" s="38" t="s">
        <v>49</v>
      </c>
      <c r="K110" s="38" t="s">
        <v>50</v>
      </c>
      <c r="L110" s="38" t="s">
        <v>95</v>
      </c>
      <c r="M110" s="38" t="s">
        <v>92</v>
      </c>
      <c r="N110" s="38" t="s">
        <v>93</v>
      </c>
      <c r="O110" s="38" t="s">
        <v>51</v>
      </c>
      <c r="P110" s="39" t="s">
        <v>44</v>
      </c>
      <c r="Q110" s="40" t="s">
        <v>52</v>
      </c>
      <c r="R110" s="41" t="str">
        <f>"(@ " &amp; Overhead &amp; "%)"</f>
        <v>(@ 104.89%)</v>
      </c>
      <c r="S110" s="42" t="s">
        <v>53</v>
      </c>
      <c r="T110" s="36"/>
      <c r="U110" s="143"/>
      <c r="V110" s="144"/>
      <c r="W110" s="145"/>
      <c r="X110" s="154">
        <v>1</v>
      </c>
      <c r="Y110" s="154"/>
      <c r="Z110" s="154"/>
      <c r="AA110" s="154"/>
      <c r="AB110" s="139">
        <v>2</v>
      </c>
      <c r="AC110" s="139"/>
      <c r="AD110" s="139"/>
      <c r="AE110" s="139"/>
      <c r="AF110" s="139">
        <v>3</v>
      </c>
      <c r="AG110" s="139"/>
      <c r="AH110" s="139"/>
      <c r="AI110" s="139"/>
      <c r="AJ110" s="139">
        <v>4</v>
      </c>
      <c r="AK110" s="139"/>
      <c r="AL110" s="139"/>
      <c r="AM110" s="139"/>
      <c r="AN110" s="139">
        <v>5</v>
      </c>
      <c r="AO110" s="139"/>
      <c r="AP110" s="139"/>
      <c r="AQ110" s="139"/>
      <c r="AR110" s="139">
        <v>6</v>
      </c>
      <c r="AS110" s="139"/>
      <c r="AT110" s="139"/>
      <c r="AU110" s="139"/>
      <c r="AV110" s="139">
        <v>7</v>
      </c>
      <c r="AW110" s="139"/>
      <c r="AX110" s="139"/>
      <c r="AY110" s="139"/>
      <c r="AZ110" s="139">
        <v>8</v>
      </c>
      <c r="BA110" s="139"/>
      <c r="BB110" s="139"/>
      <c r="BC110" s="139"/>
      <c r="BD110" s="139">
        <v>9</v>
      </c>
      <c r="BE110" s="139"/>
      <c r="BF110" s="139"/>
      <c r="BG110" s="139"/>
      <c r="BH110" s="139">
        <v>10</v>
      </c>
      <c r="BI110" s="139"/>
      <c r="BJ110" s="139"/>
      <c r="BK110" s="139"/>
      <c r="BL110" s="139">
        <v>11</v>
      </c>
      <c r="BM110" s="139"/>
      <c r="BN110" s="139"/>
      <c r="BO110" s="139"/>
      <c r="BP110" s="139">
        <v>12</v>
      </c>
      <c r="BQ110" s="139"/>
      <c r="BR110" s="139"/>
      <c r="BS110" s="139"/>
      <c r="BT110" s="153">
        <v>13</v>
      </c>
      <c r="BU110" s="153"/>
      <c r="BV110" s="153"/>
      <c r="BW110" s="153"/>
      <c r="BX110" s="152">
        <v>14</v>
      </c>
      <c r="BY110" s="152"/>
      <c r="BZ110" s="152"/>
      <c r="CA110" s="152"/>
      <c r="CB110" s="152">
        <v>15</v>
      </c>
      <c r="CC110" s="152"/>
      <c r="CD110" s="152"/>
      <c r="CE110" s="152"/>
      <c r="CF110" s="152">
        <v>16</v>
      </c>
      <c r="CG110" s="152"/>
      <c r="CH110" s="152"/>
      <c r="CI110" s="152"/>
      <c r="CJ110" s="152">
        <v>17</v>
      </c>
      <c r="CK110" s="152"/>
      <c r="CL110" s="152"/>
      <c r="CM110" s="152"/>
      <c r="CN110" s="152">
        <v>18</v>
      </c>
      <c r="CO110" s="152"/>
      <c r="CP110" s="152"/>
      <c r="CQ110" s="152"/>
      <c r="CR110" s="152">
        <v>19</v>
      </c>
      <c r="CS110" s="152"/>
      <c r="CT110" s="152"/>
      <c r="CU110" s="152"/>
      <c r="CV110" s="152">
        <v>20</v>
      </c>
      <c r="CW110" s="152"/>
      <c r="CX110" s="152"/>
      <c r="CY110" s="152"/>
      <c r="CZ110" s="152">
        <v>21</v>
      </c>
      <c r="DA110" s="152"/>
      <c r="DB110" s="152"/>
      <c r="DC110" s="152"/>
      <c r="DD110" s="152">
        <v>22</v>
      </c>
      <c r="DE110" s="152"/>
      <c r="DF110" s="152"/>
      <c r="DG110" s="152"/>
      <c r="DH110" s="152">
        <v>23</v>
      </c>
      <c r="DI110" s="152"/>
      <c r="DJ110" s="152"/>
      <c r="DK110" s="152"/>
      <c r="DL110" s="152">
        <v>24</v>
      </c>
      <c r="DM110" s="152"/>
      <c r="DN110" s="152"/>
      <c r="DO110" s="152"/>
      <c r="DP110" s="129"/>
      <c r="DQ110" s="132"/>
      <c r="DR110" s="132"/>
      <c r="DS110" s="132"/>
      <c r="DT110" s="132"/>
      <c r="DU110" s="132"/>
      <c r="DV110" s="132"/>
      <c r="DW110" s="132"/>
      <c r="DX110" s="132"/>
      <c r="DY110" s="132"/>
      <c r="DZ110" s="132"/>
      <c r="EA110" s="132"/>
      <c r="EB110" s="132"/>
      <c r="EC110" s="132"/>
      <c r="ED110" s="132"/>
      <c r="EE110" s="132"/>
      <c r="EF110" s="132"/>
      <c r="EG110" s="132"/>
      <c r="EH110" s="132"/>
      <c r="EI110" s="132"/>
      <c r="EJ110" s="132"/>
      <c r="EK110" s="132"/>
      <c r="EL110" s="132"/>
      <c r="EM110" s="132"/>
      <c r="EN110" s="132"/>
      <c r="EO110" s="132"/>
      <c r="EP110" s="132"/>
      <c r="EQ110" s="132"/>
      <c r="ER110" s="132"/>
      <c r="ES110" s="132"/>
      <c r="ET110" s="132"/>
      <c r="EU110" s="132"/>
      <c r="EV110" s="132"/>
      <c r="EW110" s="132"/>
      <c r="EX110" s="132"/>
      <c r="EY110" s="132"/>
      <c r="EZ110" s="132"/>
      <c r="FA110" s="132"/>
      <c r="FB110" s="132"/>
      <c r="FC110" s="132"/>
      <c r="FD110" s="132"/>
      <c r="FE110" s="132"/>
      <c r="FF110" s="132"/>
      <c r="FG110" s="132"/>
      <c r="FH110" s="132"/>
      <c r="FI110" s="132"/>
      <c r="FJ110" s="132"/>
      <c r="FK110" s="132"/>
      <c r="FL110" s="132"/>
      <c r="FM110" s="132"/>
      <c r="FN110" s="132"/>
      <c r="FO110" s="128"/>
      <c r="FP110" s="128"/>
      <c r="FQ110" s="128"/>
      <c r="FR110" s="128"/>
    </row>
    <row r="111" spans="1:174" ht="17.25" customHeight="1" x14ac:dyDescent="0.2">
      <c r="C111" s="96" t="s">
        <v>101</v>
      </c>
      <c r="D111" s="97"/>
      <c r="E111" s="97"/>
      <c r="F111" s="98"/>
      <c r="G111" s="98"/>
      <c r="H111" s="98"/>
      <c r="I111" s="98"/>
      <c r="J111" s="98"/>
      <c r="K111" s="98"/>
      <c r="L111" s="98"/>
      <c r="M111" s="98"/>
      <c r="N111" s="98"/>
      <c r="O111" s="98"/>
      <c r="P111" s="97"/>
      <c r="Q111" s="97"/>
      <c r="R111" s="99"/>
      <c r="S111" s="100"/>
      <c r="T111" s="97"/>
      <c r="U111" s="126"/>
      <c r="V111" s="148" t="s">
        <v>77</v>
      </c>
      <c r="W111" s="148"/>
      <c r="X111" s="125"/>
      <c r="Y111" s="125"/>
      <c r="Z111" s="125"/>
      <c r="AA111" s="125"/>
      <c r="AB111" s="125"/>
      <c r="AC111" s="125"/>
      <c r="AD111" s="125"/>
      <c r="AE111" s="125"/>
      <c r="AF111" s="125"/>
      <c r="AG111" s="125"/>
      <c r="AH111" s="125"/>
      <c r="AI111" s="125"/>
      <c r="AJ111" s="125"/>
      <c r="AK111" s="125"/>
      <c r="AL111" s="125"/>
      <c r="AM111" s="125"/>
      <c r="AN111" s="125"/>
      <c r="AO111" s="125"/>
      <c r="AP111" s="125"/>
      <c r="AQ111" s="125"/>
      <c r="AR111" s="125"/>
      <c r="AS111" s="125"/>
      <c r="AT111" s="125"/>
      <c r="AU111" s="125"/>
      <c r="AV111" s="125"/>
      <c r="AW111" s="125"/>
      <c r="AX111" s="125"/>
      <c r="AY111" s="125"/>
      <c r="AZ111" s="125"/>
      <c r="BA111" s="125"/>
      <c r="BB111" s="125"/>
      <c r="BC111" s="125"/>
      <c r="BD111" s="125"/>
      <c r="BE111" s="125"/>
      <c r="BF111" s="125"/>
      <c r="BG111" s="125"/>
      <c r="BH111" s="125"/>
      <c r="BI111" s="125"/>
      <c r="BJ111" s="125"/>
      <c r="BK111" s="125"/>
      <c r="BL111" s="125"/>
      <c r="BM111" s="125"/>
      <c r="BN111" s="125"/>
      <c r="BO111" s="125"/>
      <c r="BP111" s="125"/>
      <c r="BQ111" s="125"/>
      <c r="BR111" s="125"/>
      <c r="BS111" s="125"/>
      <c r="BT111" s="125"/>
      <c r="BU111" s="125"/>
      <c r="BV111" s="125"/>
      <c r="BW111" s="125"/>
      <c r="BX111" s="125"/>
      <c r="BY111" s="125"/>
      <c r="BZ111" s="125"/>
      <c r="CA111" s="125"/>
      <c r="CB111" s="125"/>
      <c r="CC111" s="125"/>
      <c r="CD111" s="125"/>
      <c r="CE111" s="125"/>
      <c r="CF111" s="125"/>
      <c r="CG111" s="125"/>
      <c r="CH111" s="125"/>
      <c r="CI111" s="125"/>
      <c r="CJ111" s="125"/>
      <c r="CK111" s="125"/>
      <c r="CL111" s="125"/>
      <c r="CM111" s="125"/>
      <c r="CN111" s="125"/>
      <c r="CO111" s="125"/>
      <c r="CP111" s="125"/>
      <c r="CQ111" s="125"/>
      <c r="CR111" s="125"/>
      <c r="CS111" s="125"/>
      <c r="CT111" s="125"/>
      <c r="CU111" s="125"/>
      <c r="CV111" s="125"/>
      <c r="CW111" s="125"/>
      <c r="CX111" s="125"/>
      <c r="CY111" s="125"/>
      <c r="CZ111" s="125"/>
      <c r="DA111" s="125"/>
      <c r="DB111" s="125"/>
      <c r="DC111" s="125"/>
      <c r="DD111" s="125"/>
      <c r="DE111" s="125"/>
      <c r="DF111" s="125"/>
      <c r="DG111" s="125"/>
      <c r="DH111" s="125"/>
      <c r="DI111" s="125"/>
      <c r="DJ111" s="125"/>
      <c r="DK111" s="125"/>
      <c r="DL111" s="125"/>
      <c r="DM111" s="125"/>
      <c r="DN111" s="125"/>
      <c r="DO111" s="125"/>
      <c r="DP111" s="118"/>
      <c r="DQ111" s="128"/>
      <c r="DR111" s="128"/>
      <c r="DS111" s="128"/>
      <c r="DT111" s="128"/>
      <c r="DU111" s="128"/>
      <c r="DV111" s="128"/>
      <c r="DW111" s="128"/>
      <c r="DX111" s="128"/>
      <c r="DY111" s="128"/>
      <c r="DZ111" s="128"/>
      <c r="EA111" s="128"/>
      <c r="EB111" s="128"/>
      <c r="EC111" s="128"/>
      <c r="ED111" s="128"/>
      <c r="EE111" s="128"/>
      <c r="EF111" s="128"/>
      <c r="EG111" s="128"/>
      <c r="EH111" s="128"/>
      <c r="EI111" s="128"/>
      <c r="EJ111" s="128"/>
      <c r="EK111" s="128"/>
      <c r="EL111" s="128"/>
      <c r="EM111" s="128"/>
      <c r="EN111" s="128"/>
      <c r="EO111" s="128"/>
      <c r="EP111" s="128"/>
      <c r="EQ111" s="128"/>
      <c r="ER111" s="128"/>
      <c r="ES111" s="128"/>
      <c r="ET111" s="128"/>
      <c r="EU111" s="128"/>
      <c r="EV111" s="128"/>
      <c r="EW111" s="128"/>
      <c r="EX111" s="128"/>
      <c r="EY111" s="128"/>
      <c r="EZ111" s="128"/>
      <c r="FA111" s="128"/>
      <c r="FB111" s="128"/>
      <c r="FC111" s="128"/>
      <c r="FD111" s="128"/>
      <c r="FE111" s="128"/>
      <c r="FF111" s="128"/>
      <c r="FG111" s="128"/>
      <c r="FH111" s="128"/>
      <c r="FI111" s="128"/>
      <c r="FJ111" s="128"/>
      <c r="FK111" s="128"/>
      <c r="FL111" s="128"/>
      <c r="FM111" s="128"/>
      <c r="FN111" s="128"/>
      <c r="FO111" s="128"/>
      <c r="FP111" s="128"/>
      <c r="FQ111" s="128"/>
      <c r="FR111" s="128"/>
    </row>
    <row r="112" spans="1:174" ht="13.7" customHeight="1" x14ac:dyDescent="0.2">
      <c r="C112" s="15" t="str">
        <f>"  1. "</f>
        <v xml:space="preserve">  1. </v>
      </c>
      <c r="D112" s="2" t="s">
        <v>103</v>
      </c>
      <c r="F112" s="44">
        <v>0</v>
      </c>
      <c r="G112" s="44">
        <v>1</v>
      </c>
      <c r="H112" s="44">
        <v>0</v>
      </c>
      <c r="I112" s="44">
        <v>0</v>
      </c>
      <c r="J112" s="44">
        <v>0</v>
      </c>
      <c r="K112" s="44">
        <v>0</v>
      </c>
      <c r="L112" s="44">
        <v>0</v>
      </c>
      <c r="M112" s="44">
        <v>0</v>
      </c>
      <c r="N112" s="44">
        <v>0</v>
      </c>
      <c r="O112" s="44">
        <v>0</v>
      </c>
      <c r="P112" s="90">
        <f t="shared" ref="P112:P121" si="0">SUM(G112:O112)</f>
        <v>1</v>
      </c>
      <c r="Q112" s="45">
        <f t="shared" ref="Q112:Q120" si="1">P169</f>
        <v>1859.6153846153845</v>
      </c>
      <c r="R112" s="43">
        <f t="shared" ref="R112:R121" si="2">Q112*E$149/100</f>
        <v>1950.550576923077</v>
      </c>
      <c r="S112" s="43">
        <f t="shared" ref="S112:S121" si="3">ROUND(SUM(Q112+R112),0)</f>
        <v>3810</v>
      </c>
      <c r="T112" s="93"/>
      <c r="U112" s="127" t="str">
        <f t="shared" ref="U112:U121" si="4">C112</f>
        <v xml:space="preserve">  1. </v>
      </c>
      <c r="V112" s="149" t="str">
        <f t="shared" ref="V112:V121" si="5">D112</f>
        <v>Do first thing</v>
      </c>
      <c r="W112" s="150"/>
      <c r="X112" s="46"/>
      <c r="Y112" s="47"/>
      <c r="Z112" s="47"/>
      <c r="AA112" s="47"/>
      <c r="AB112" s="47"/>
      <c r="AC112" s="4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18"/>
      <c r="DQ112" s="128"/>
      <c r="DR112" s="128"/>
      <c r="DS112" s="128"/>
      <c r="DT112" s="128"/>
      <c r="DU112" s="128"/>
      <c r="DV112" s="128"/>
      <c r="DW112" s="128"/>
      <c r="DX112" s="128"/>
      <c r="DY112" s="128"/>
      <c r="DZ112" s="128"/>
      <c r="EA112" s="128"/>
      <c r="EB112" s="128"/>
      <c r="EC112" s="128"/>
      <c r="ED112" s="128"/>
      <c r="EE112" s="128"/>
      <c r="EF112" s="128"/>
      <c r="EG112" s="128"/>
      <c r="EH112" s="128"/>
      <c r="EI112" s="128"/>
      <c r="EJ112" s="128"/>
      <c r="EK112" s="128"/>
      <c r="EL112" s="128"/>
      <c r="EM112" s="128"/>
      <c r="EN112" s="128"/>
      <c r="EO112" s="128"/>
      <c r="EP112" s="128"/>
      <c r="EQ112" s="128"/>
      <c r="ER112" s="128"/>
      <c r="ES112" s="128"/>
      <c r="ET112" s="128"/>
      <c r="EU112" s="128"/>
      <c r="EV112" s="128"/>
      <c r="EW112" s="128"/>
      <c r="EX112" s="128"/>
      <c r="EY112" s="128"/>
      <c r="EZ112" s="128"/>
      <c r="FA112" s="128"/>
      <c r="FB112" s="128"/>
      <c r="FC112" s="128"/>
      <c r="FD112" s="128"/>
      <c r="FE112" s="128"/>
      <c r="FF112" s="128"/>
      <c r="FG112" s="128"/>
      <c r="FH112" s="128"/>
      <c r="FI112" s="128"/>
      <c r="FJ112" s="128"/>
      <c r="FK112" s="128"/>
      <c r="FL112" s="128"/>
      <c r="FM112" s="128"/>
      <c r="FN112" s="128"/>
      <c r="FO112" s="128"/>
      <c r="FP112" s="128"/>
      <c r="FQ112" s="128"/>
      <c r="FR112" s="128"/>
    </row>
    <row r="113" spans="3:174" ht="13.7" customHeight="1" x14ac:dyDescent="0.2">
      <c r="C113" s="15" t="str">
        <f>"  2. "</f>
        <v xml:space="preserve">  2. </v>
      </c>
      <c r="D113" s="2" t="s">
        <v>112</v>
      </c>
      <c r="F113" s="44">
        <v>0</v>
      </c>
      <c r="G113" s="44">
        <v>0</v>
      </c>
      <c r="H113" s="44">
        <v>2</v>
      </c>
      <c r="I113" s="44">
        <v>0</v>
      </c>
      <c r="J113" s="44">
        <v>0</v>
      </c>
      <c r="K113" s="44">
        <v>0</v>
      </c>
      <c r="L113" s="44">
        <v>0</v>
      </c>
      <c r="M113" s="44">
        <v>0</v>
      </c>
      <c r="N113" s="44">
        <v>0</v>
      </c>
      <c r="O113" s="44">
        <v>0</v>
      </c>
      <c r="P113" s="90">
        <f t="shared" si="0"/>
        <v>2</v>
      </c>
      <c r="Q113" s="45">
        <f t="shared" si="1"/>
        <v>3973.0769230769229</v>
      </c>
      <c r="R113" s="43">
        <f t="shared" si="2"/>
        <v>4167.3603846153846</v>
      </c>
      <c r="S113" s="43">
        <f t="shared" si="3"/>
        <v>8140</v>
      </c>
      <c r="U113" s="127" t="str">
        <f t="shared" si="4"/>
        <v xml:space="preserve">  2. </v>
      </c>
      <c r="V113" s="149" t="str">
        <f t="shared" si="5"/>
        <v>Do second thing</v>
      </c>
      <c r="W113" s="149"/>
      <c r="AD113" s="46"/>
      <c r="AE113" s="47"/>
      <c r="AF113" s="47"/>
      <c r="AG113" s="47"/>
      <c r="AH113" s="47"/>
      <c r="AI113" s="47"/>
      <c r="AJ113" s="47"/>
      <c r="AK113" s="47"/>
      <c r="AL113" s="47"/>
      <c r="AM113" s="47"/>
      <c r="AN113" s="47"/>
      <c r="AO113" s="47"/>
      <c r="AP113" s="47"/>
      <c r="AQ113" s="47"/>
      <c r="AR113" s="47"/>
      <c r="AS113" s="47"/>
      <c r="AT113" s="47"/>
      <c r="AU113" s="47"/>
      <c r="AV113" s="48" t="s">
        <v>55</v>
      </c>
      <c r="BT113" s="130"/>
      <c r="BU113" s="130"/>
      <c r="BV113" s="136"/>
      <c r="BW113" s="136"/>
      <c r="BX113" s="136"/>
      <c r="BY113" s="136"/>
      <c r="BZ113" s="136"/>
      <c r="CA113" s="136"/>
      <c r="CB113" s="136"/>
      <c r="CC113" s="136"/>
      <c r="CD113" s="136"/>
      <c r="CE113" s="136"/>
      <c r="CF113" s="136"/>
      <c r="CG113" s="136"/>
      <c r="CH113" s="136"/>
      <c r="CI113" s="136"/>
      <c r="CJ113" s="136"/>
      <c r="CK113" s="136"/>
      <c r="CL113" s="136"/>
      <c r="CM113" s="136"/>
      <c r="CN113" s="136"/>
      <c r="CO113" s="136"/>
      <c r="CP113" s="136"/>
      <c r="CQ113" s="136"/>
      <c r="CR113" s="136"/>
      <c r="CS113" s="136"/>
      <c r="CT113" s="136"/>
      <c r="CU113" s="136"/>
      <c r="CV113" s="136"/>
      <c r="CW113" s="136"/>
      <c r="CX113" s="136"/>
      <c r="CY113" s="136"/>
      <c r="CZ113" s="136"/>
      <c r="DA113" s="136"/>
      <c r="DB113" s="136"/>
      <c r="DC113" s="136"/>
      <c r="DD113" s="136"/>
      <c r="DE113" s="136"/>
      <c r="DF113" s="136"/>
      <c r="DG113" s="136"/>
      <c r="DH113" s="136"/>
      <c r="DI113" s="136"/>
      <c r="DJ113" s="136"/>
      <c r="DK113" s="136"/>
      <c r="DL113" s="136"/>
      <c r="DM113" s="136"/>
      <c r="DN113" s="136"/>
      <c r="DO113" s="136"/>
      <c r="DP113" s="118"/>
      <c r="DQ113" s="128"/>
      <c r="DR113" s="128"/>
      <c r="DS113" s="128"/>
      <c r="DT113" s="128"/>
      <c r="DU113" s="128"/>
      <c r="DV113" s="128"/>
      <c r="DW113" s="128"/>
      <c r="DX113" s="128"/>
      <c r="DY113" s="128"/>
      <c r="DZ113" s="128"/>
      <c r="EA113" s="128"/>
      <c r="EB113" s="128"/>
      <c r="EC113" s="128"/>
      <c r="ED113" s="128"/>
      <c r="EE113" s="128"/>
      <c r="EF113" s="128"/>
      <c r="EG113" s="128"/>
      <c r="EH113" s="128"/>
      <c r="EI113" s="128"/>
      <c r="EJ113" s="128"/>
      <c r="EK113" s="128"/>
      <c r="EL113" s="128"/>
      <c r="EM113" s="128"/>
      <c r="EN113" s="128"/>
      <c r="EO113" s="128"/>
      <c r="EP113" s="128"/>
      <c r="EQ113" s="128"/>
      <c r="ER113" s="128"/>
      <c r="ES113" s="128"/>
      <c r="ET113" s="128"/>
      <c r="EU113" s="128"/>
      <c r="EV113" s="128"/>
      <c r="EW113" s="128"/>
      <c r="EX113" s="128"/>
      <c r="EY113" s="128"/>
      <c r="EZ113" s="128"/>
      <c r="FA113" s="128"/>
      <c r="FB113" s="128"/>
      <c r="FC113" s="128"/>
      <c r="FD113" s="128"/>
      <c r="FE113" s="128"/>
      <c r="FF113" s="128"/>
      <c r="FG113" s="128"/>
      <c r="FH113" s="128"/>
      <c r="FI113" s="128"/>
      <c r="FJ113" s="128"/>
      <c r="FK113" s="128"/>
      <c r="FL113" s="128"/>
      <c r="FM113" s="128"/>
      <c r="FN113" s="128"/>
      <c r="FO113" s="128"/>
      <c r="FP113" s="128"/>
      <c r="FQ113" s="128"/>
      <c r="FR113" s="128"/>
    </row>
    <row r="114" spans="3:174" ht="13.7" customHeight="1" x14ac:dyDescent="0.2">
      <c r="C114" s="15" t="str">
        <f>"  3. "</f>
        <v xml:space="preserve">  3. </v>
      </c>
      <c r="D114" s="2" t="s">
        <v>104</v>
      </c>
      <c r="F114" s="44">
        <v>0</v>
      </c>
      <c r="G114" s="44">
        <v>0</v>
      </c>
      <c r="H114" s="44">
        <v>0</v>
      </c>
      <c r="I114" s="44">
        <v>3</v>
      </c>
      <c r="J114" s="44">
        <v>0</v>
      </c>
      <c r="K114" s="44">
        <v>0</v>
      </c>
      <c r="L114" s="44">
        <v>0</v>
      </c>
      <c r="M114" s="44">
        <v>0</v>
      </c>
      <c r="N114" s="44">
        <v>0</v>
      </c>
      <c r="O114" s="44">
        <v>0</v>
      </c>
      <c r="P114" s="90">
        <f t="shared" si="0"/>
        <v>3</v>
      </c>
      <c r="Q114" s="45">
        <f t="shared" si="1"/>
        <v>4338.4615384615381</v>
      </c>
      <c r="R114" s="43">
        <f t="shared" si="2"/>
        <v>4550.6123076923077</v>
      </c>
      <c r="S114" s="43">
        <f t="shared" si="3"/>
        <v>8889</v>
      </c>
      <c r="U114" s="127" t="str">
        <f t="shared" si="4"/>
        <v xml:space="preserve">  3. </v>
      </c>
      <c r="V114" s="149" t="str">
        <f t="shared" si="5"/>
        <v>Do third thing</v>
      </c>
      <c r="W114" s="149"/>
      <c r="AQ114" s="46"/>
      <c r="AR114" s="47"/>
      <c r="AS114" s="47"/>
      <c r="AT114" s="47"/>
      <c r="AU114" s="47"/>
      <c r="AV114" s="47"/>
      <c r="AW114" s="47"/>
      <c r="AX114" s="47"/>
      <c r="AY114" s="47"/>
      <c r="AZ114" s="47"/>
      <c r="BA114" s="47"/>
      <c r="BB114" s="47"/>
      <c r="BC114" s="47"/>
      <c r="BD114" s="47"/>
      <c r="BE114" s="47"/>
      <c r="BF114" s="47"/>
      <c r="BG114" s="47" t="s">
        <v>57</v>
      </c>
      <c r="BH114" s="47"/>
      <c r="BI114" s="47"/>
      <c r="BJ114" s="47"/>
      <c r="BK114" s="47"/>
      <c r="BL114" s="47"/>
      <c r="BM114" s="47"/>
      <c r="BN114" s="47"/>
      <c r="BO114" s="47"/>
      <c r="BP114" s="47"/>
      <c r="BQ114" s="47"/>
      <c r="BR114" s="47"/>
      <c r="BS114" s="48" t="s">
        <v>58</v>
      </c>
      <c r="BT114" s="130"/>
      <c r="BU114" s="130"/>
      <c r="BV114" s="136"/>
      <c r="BW114" s="136"/>
      <c r="BX114" s="136"/>
      <c r="BY114" s="136"/>
      <c r="BZ114" s="136"/>
      <c r="CA114" s="136"/>
      <c r="CB114" s="136"/>
      <c r="CC114" s="136"/>
      <c r="CD114" s="136"/>
      <c r="CE114" s="136"/>
      <c r="CF114" s="136"/>
      <c r="CG114" s="136"/>
      <c r="CH114" s="136"/>
      <c r="CI114" s="136"/>
      <c r="CJ114" s="136"/>
      <c r="CK114" s="136"/>
      <c r="CL114" s="136"/>
      <c r="CM114" s="136"/>
      <c r="CN114" s="136"/>
      <c r="CO114" s="136"/>
      <c r="CP114" s="136"/>
      <c r="CQ114" s="136"/>
      <c r="CR114" s="136"/>
      <c r="CS114" s="136"/>
      <c r="CT114" s="136"/>
      <c r="CU114" s="136"/>
      <c r="CV114" s="136"/>
      <c r="CW114" s="136"/>
      <c r="CX114" s="136"/>
      <c r="CY114" s="136"/>
      <c r="CZ114" s="136"/>
      <c r="DA114" s="136"/>
      <c r="DB114" s="136"/>
      <c r="DC114" s="136"/>
      <c r="DD114" s="136"/>
      <c r="DE114" s="136"/>
      <c r="DF114" s="136"/>
      <c r="DG114" s="136"/>
      <c r="DH114" s="136"/>
      <c r="DI114" s="136"/>
      <c r="DJ114" s="136"/>
      <c r="DK114" s="136"/>
      <c r="DL114" s="136"/>
      <c r="DM114" s="136"/>
      <c r="DN114" s="136"/>
      <c r="DO114" s="136"/>
      <c r="DP114" s="118"/>
      <c r="DQ114" s="128"/>
      <c r="DR114" s="128"/>
      <c r="DS114" s="128"/>
      <c r="DT114" s="128"/>
      <c r="DU114" s="128"/>
      <c r="DV114" s="128"/>
      <c r="DW114" s="128"/>
      <c r="DX114" s="128"/>
      <c r="DY114" s="128"/>
      <c r="DZ114" s="128"/>
      <c r="EA114" s="128"/>
      <c r="EB114" s="128"/>
      <c r="EC114" s="128"/>
      <c r="ED114" s="128"/>
      <c r="EE114" s="128"/>
      <c r="EF114" s="128"/>
      <c r="EG114" s="128"/>
      <c r="EH114" s="128"/>
      <c r="EI114" s="128"/>
      <c r="EJ114" s="128"/>
      <c r="EK114" s="128"/>
      <c r="EL114" s="128"/>
      <c r="EM114" s="128"/>
      <c r="EN114" s="128"/>
      <c r="EO114" s="128"/>
      <c r="EP114" s="128"/>
      <c r="EQ114" s="128"/>
      <c r="ER114" s="128"/>
      <c r="ES114" s="128"/>
      <c r="ET114" s="128"/>
      <c r="EU114" s="128"/>
      <c r="EV114" s="128"/>
      <c r="EW114" s="128"/>
      <c r="EX114" s="128"/>
      <c r="EY114" s="128"/>
      <c r="EZ114" s="128"/>
      <c r="FA114" s="128"/>
      <c r="FB114" s="128"/>
      <c r="FC114" s="128"/>
      <c r="FD114" s="128"/>
      <c r="FE114" s="128"/>
      <c r="FF114" s="128"/>
      <c r="FG114" s="128"/>
      <c r="FH114" s="128"/>
      <c r="FI114" s="128"/>
      <c r="FJ114" s="128"/>
      <c r="FK114" s="128"/>
      <c r="FL114" s="128"/>
      <c r="FM114" s="128"/>
      <c r="FN114" s="128"/>
      <c r="FO114" s="128"/>
      <c r="FP114" s="128"/>
      <c r="FQ114" s="128"/>
      <c r="FR114" s="128"/>
    </row>
    <row r="115" spans="3:174" ht="13.7" customHeight="1" x14ac:dyDescent="0.2">
      <c r="C115" s="15" t="str">
        <f>"  4. "</f>
        <v xml:space="preserve">  4. </v>
      </c>
      <c r="D115" s="2" t="s">
        <v>105</v>
      </c>
      <c r="F115" s="44">
        <v>0</v>
      </c>
      <c r="G115" s="44">
        <v>0</v>
      </c>
      <c r="H115" s="44">
        <v>0</v>
      </c>
      <c r="I115" s="44">
        <v>0</v>
      </c>
      <c r="J115" s="44">
        <v>4</v>
      </c>
      <c r="K115" s="44">
        <v>0</v>
      </c>
      <c r="L115" s="44">
        <v>0</v>
      </c>
      <c r="M115" s="44">
        <v>0</v>
      </c>
      <c r="N115" s="44">
        <v>0</v>
      </c>
      <c r="O115" s="44">
        <v>0</v>
      </c>
      <c r="P115" s="90">
        <f t="shared" si="0"/>
        <v>4</v>
      </c>
      <c r="Q115" s="45">
        <f t="shared" si="1"/>
        <v>5038.4615384615381</v>
      </c>
      <c r="R115" s="43">
        <f t="shared" si="2"/>
        <v>5284.8423076923073</v>
      </c>
      <c r="S115" s="43">
        <f t="shared" si="3"/>
        <v>10323</v>
      </c>
      <c r="U115" s="127" t="str">
        <f t="shared" si="4"/>
        <v xml:space="preserve">  4. </v>
      </c>
      <c r="V115" s="149" t="str">
        <f t="shared" si="5"/>
        <v>Do fourth thing</v>
      </c>
      <c r="W115" s="150"/>
      <c r="X115" s="46"/>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c r="AW115" s="47"/>
      <c r="AX115" s="47"/>
      <c r="AY115" s="47"/>
      <c r="AZ115" s="47"/>
      <c r="BA115" s="47"/>
      <c r="BB115" s="47"/>
      <c r="BC115" s="47"/>
      <c r="BD115" s="47"/>
      <c r="BE115" s="47"/>
      <c r="BF115" s="47"/>
      <c r="BG115" s="47"/>
      <c r="BH115" s="47"/>
      <c r="BI115" s="47"/>
      <c r="BJ115" s="47"/>
      <c r="BK115" s="47"/>
      <c r="BL115" s="47"/>
      <c r="BM115" s="47"/>
      <c r="BN115" s="47"/>
      <c r="BO115" s="47"/>
      <c r="BP115" s="47"/>
      <c r="BQ115" s="47"/>
      <c r="BR115" s="47"/>
      <c r="BS115" s="4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18"/>
      <c r="DQ115" s="128"/>
      <c r="DR115" s="128"/>
      <c r="DS115" s="128"/>
      <c r="DT115" s="128"/>
      <c r="DU115" s="128"/>
      <c r="DV115" s="128"/>
      <c r="DW115" s="128"/>
      <c r="DX115" s="128"/>
      <c r="DY115" s="128"/>
      <c r="DZ115" s="128"/>
      <c r="EA115" s="128"/>
      <c r="EB115" s="128"/>
      <c r="EC115" s="128"/>
      <c r="ED115" s="128"/>
      <c r="EE115" s="128"/>
      <c r="EF115" s="128"/>
      <c r="EG115" s="128"/>
      <c r="EH115" s="128"/>
      <c r="EI115" s="128"/>
      <c r="EJ115" s="128"/>
      <c r="EK115" s="128"/>
      <c r="EL115" s="128"/>
      <c r="EM115" s="128"/>
      <c r="EN115" s="128"/>
      <c r="EO115" s="128"/>
      <c r="EP115" s="128"/>
      <c r="EQ115" s="128"/>
      <c r="ER115" s="128"/>
      <c r="ES115" s="128"/>
      <c r="ET115" s="128"/>
      <c r="EU115" s="128"/>
      <c r="EV115" s="128"/>
      <c r="EW115" s="128"/>
      <c r="EX115" s="128"/>
      <c r="EY115" s="128"/>
      <c r="EZ115" s="128"/>
      <c r="FA115" s="128"/>
      <c r="FB115" s="128"/>
      <c r="FC115" s="128"/>
      <c r="FD115" s="128"/>
      <c r="FE115" s="128"/>
      <c r="FF115" s="128"/>
      <c r="FG115" s="128"/>
      <c r="FH115" s="128"/>
      <c r="FI115" s="128"/>
      <c r="FJ115" s="128"/>
      <c r="FK115" s="128"/>
      <c r="FL115" s="128"/>
      <c r="FM115" s="128"/>
      <c r="FN115" s="128"/>
      <c r="FO115" s="128"/>
      <c r="FP115" s="128"/>
      <c r="FQ115" s="128"/>
      <c r="FR115" s="128"/>
    </row>
    <row r="116" spans="3:174" ht="13.7" customHeight="1" x14ac:dyDescent="0.2">
      <c r="C116" s="15" t="str">
        <f>"  5. "</f>
        <v xml:space="preserve">  5. </v>
      </c>
      <c r="D116" s="2" t="s">
        <v>106</v>
      </c>
      <c r="F116" s="44">
        <v>0</v>
      </c>
      <c r="G116" s="44">
        <v>0</v>
      </c>
      <c r="H116" s="44">
        <v>0</v>
      </c>
      <c r="I116" s="44">
        <v>0</v>
      </c>
      <c r="J116" s="44">
        <v>0</v>
      </c>
      <c r="K116" s="44">
        <v>0</v>
      </c>
      <c r="L116" s="44">
        <v>5</v>
      </c>
      <c r="M116" s="44">
        <v>0</v>
      </c>
      <c r="N116" s="44">
        <v>0</v>
      </c>
      <c r="O116" s="44">
        <v>0</v>
      </c>
      <c r="P116" s="90">
        <f t="shared" si="0"/>
        <v>5</v>
      </c>
      <c r="Q116" s="45">
        <f t="shared" si="1"/>
        <v>4759.6153846153848</v>
      </c>
      <c r="R116" s="43">
        <f t="shared" si="2"/>
        <v>4992.3605769230771</v>
      </c>
      <c r="S116" s="43">
        <f t="shared" si="3"/>
        <v>9752</v>
      </c>
      <c r="U116" s="127" t="str">
        <f t="shared" si="4"/>
        <v xml:space="preserve">  5. </v>
      </c>
      <c r="V116" s="149" t="str">
        <f t="shared" si="5"/>
        <v>Do fifth thing</v>
      </c>
      <c r="W116" s="150"/>
      <c r="X116" s="46"/>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c r="AW116" s="47"/>
      <c r="AX116" s="47"/>
      <c r="AY116" s="47"/>
      <c r="AZ116" s="47"/>
      <c r="BA116" s="47"/>
      <c r="BB116" s="47"/>
      <c r="BC116" s="47"/>
      <c r="BD116" s="47"/>
      <c r="BE116" s="47"/>
      <c r="BF116" s="47"/>
      <c r="BG116" s="47"/>
      <c r="BH116" s="47"/>
      <c r="BI116" s="47"/>
      <c r="BJ116" s="47"/>
      <c r="BK116" s="47"/>
      <c r="BL116" s="47"/>
      <c r="BM116" s="47"/>
      <c r="BN116" s="47"/>
      <c r="BO116" s="47"/>
      <c r="BP116" s="47"/>
      <c r="BQ116" s="47"/>
      <c r="BR116" s="47"/>
      <c r="BS116" s="4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18"/>
      <c r="DQ116" s="128"/>
      <c r="DR116" s="128"/>
      <c r="DS116" s="128"/>
      <c r="DT116" s="128"/>
      <c r="DU116" s="128"/>
      <c r="DV116" s="128"/>
      <c r="DW116" s="128"/>
      <c r="DX116" s="128"/>
      <c r="DY116" s="128"/>
      <c r="DZ116" s="128"/>
      <c r="EA116" s="128"/>
      <c r="EB116" s="128"/>
      <c r="EC116" s="128"/>
      <c r="ED116" s="128"/>
      <c r="EE116" s="128"/>
      <c r="EF116" s="128"/>
      <c r="EG116" s="128"/>
      <c r="EH116" s="128"/>
      <c r="EI116" s="128"/>
      <c r="EJ116" s="128"/>
      <c r="EK116" s="128"/>
      <c r="EL116" s="128"/>
      <c r="EM116" s="128"/>
      <c r="EN116" s="128"/>
      <c r="EO116" s="128"/>
      <c r="EP116" s="128"/>
      <c r="EQ116" s="128"/>
      <c r="ER116" s="128"/>
      <c r="ES116" s="128"/>
      <c r="ET116" s="128"/>
      <c r="EU116" s="128"/>
      <c r="EV116" s="128"/>
      <c r="EW116" s="128"/>
      <c r="EX116" s="128"/>
      <c r="EY116" s="128"/>
      <c r="EZ116" s="128"/>
      <c r="FA116" s="128"/>
      <c r="FB116" s="128"/>
      <c r="FC116" s="128"/>
      <c r="FD116" s="128"/>
      <c r="FE116" s="128"/>
      <c r="FF116" s="128"/>
      <c r="FG116" s="128"/>
      <c r="FH116" s="128"/>
      <c r="FI116" s="128"/>
      <c r="FJ116" s="128"/>
      <c r="FK116" s="128"/>
      <c r="FL116" s="128"/>
      <c r="FM116" s="128"/>
      <c r="FN116" s="128"/>
      <c r="FO116" s="128"/>
      <c r="FP116" s="128"/>
      <c r="FQ116" s="128"/>
      <c r="FR116" s="128"/>
    </row>
    <row r="117" spans="3:174" ht="13.7" customHeight="1" x14ac:dyDescent="0.2">
      <c r="C117" s="15" t="str">
        <f>"  6. "</f>
        <v xml:space="preserve">  6. </v>
      </c>
      <c r="D117" s="2" t="s">
        <v>107</v>
      </c>
      <c r="F117" s="44">
        <v>0</v>
      </c>
      <c r="G117" s="44">
        <v>0</v>
      </c>
      <c r="H117" s="44">
        <v>0</v>
      </c>
      <c r="I117" s="44">
        <v>0</v>
      </c>
      <c r="J117" s="44">
        <v>0</v>
      </c>
      <c r="K117" s="44">
        <v>0</v>
      </c>
      <c r="L117" s="44">
        <v>0</v>
      </c>
      <c r="M117" s="44">
        <v>0</v>
      </c>
      <c r="N117" s="44">
        <v>0</v>
      </c>
      <c r="O117" s="44">
        <v>6</v>
      </c>
      <c r="P117" s="90">
        <f t="shared" si="0"/>
        <v>6</v>
      </c>
      <c r="Q117" s="45">
        <f t="shared" si="1"/>
        <v>3173.0769230769229</v>
      </c>
      <c r="R117" s="43">
        <f t="shared" si="2"/>
        <v>3328.2403846153843</v>
      </c>
      <c r="S117" s="43">
        <f t="shared" si="3"/>
        <v>6501</v>
      </c>
      <c r="U117" s="127" t="str">
        <f t="shared" si="4"/>
        <v xml:space="preserve">  6. </v>
      </c>
      <c r="V117" s="149" t="str">
        <f t="shared" si="5"/>
        <v>Do sixth thing</v>
      </c>
      <c r="W117" s="150"/>
      <c r="X117" s="46"/>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c r="AW117" s="47"/>
      <c r="AX117" s="47"/>
      <c r="AY117" s="47"/>
      <c r="AZ117" s="47"/>
      <c r="BA117" s="47"/>
      <c r="BB117" s="47"/>
      <c r="BC117" s="47"/>
      <c r="BD117" s="47"/>
      <c r="BE117" s="47"/>
      <c r="BF117" s="47"/>
      <c r="BG117" s="47"/>
      <c r="BH117" s="47"/>
      <c r="BI117" s="47"/>
      <c r="BJ117" s="47"/>
      <c r="BK117" s="47"/>
      <c r="BL117" s="47"/>
      <c r="BM117" s="47"/>
      <c r="BN117" s="47"/>
      <c r="BO117" s="47"/>
      <c r="BP117" s="47"/>
      <c r="BQ117" s="47"/>
      <c r="BR117" s="47"/>
      <c r="BS117" s="4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18"/>
      <c r="DQ117" s="128"/>
      <c r="DR117" s="128"/>
      <c r="DS117" s="128"/>
      <c r="DT117" s="128"/>
      <c r="DU117" s="128"/>
      <c r="DV117" s="128"/>
      <c r="DW117" s="128"/>
      <c r="DX117" s="128"/>
      <c r="DY117" s="128"/>
      <c r="DZ117" s="128"/>
      <c r="EA117" s="128"/>
      <c r="EB117" s="128"/>
      <c r="EC117" s="128"/>
      <c r="ED117" s="128"/>
      <c r="EE117" s="128"/>
      <c r="EF117" s="128"/>
      <c r="EG117" s="128"/>
      <c r="EH117" s="128"/>
      <c r="EI117" s="128"/>
      <c r="EJ117" s="128"/>
      <c r="EK117" s="128"/>
      <c r="EL117" s="128"/>
      <c r="EM117" s="128"/>
      <c r="EN117" s="128"/>
      <c r="EO117" s="128"/>
      <c r="EP117" s="128"/>
      <c r="EQ117" s="128"/>
      <c r="ER117" s="128"/>
      <c r="ES117" s="128"/>
      <c r="ET117" s="128"/>
      <c r="EU117" s="128"/>
      <c r="EV117" s="128"/>
      <c r="EW117" s="128"/>
      <c r="EX117" s="128"/>
      <c r="EY117" s="128"/>
      <c r="EZ117" s="128"/>
      <c r="FA117" s="128"/>
      <c r="FB117" s="128"/>
      <c r="FC117" s="128"/>
      <c r="FD117" s="128"/>
      <c r="FE117" s="128"/>
      <c r="FF117" s="128"/>
      <c r="FG117" s="128"/>
      <c r="FH117" s="128"/>
      <c r="FI117" s="128"/>
      <c r="FJ117" s="128"/>
      <c r="FK117" s="128"/>
      <c r="FL117" s="128"/>
      <c r="FM117" s="128"/>
      <c r="FN117" s="128"/>
      <c r="FO117" s="128"/>
      <c r="FP117" s="128"/>
      <c r="FQ117" s="128"/>
      <c r="FR117" s="128"/>
    </row>
    <row r="118" spans="3:174" ht="13.7" customHeight="1" x14ac:dyDescent="0.2">
      <c r="C118" s="15" t="str">
        <f>"  7. "</f>
        <v xml:space="preserve">  7. </v>
      </c>
      <c r="D118" s="2" t="s">
        <v>108</v>
      </c>
      <c r="F118" s="44">
        <v>0</v>
      </c>
      <c r="G118" s="44">
        <v>0</v>
      </c>
      <c r="H118" s="44">
        <v>0</v>
      </c>
      <c r="I118" s="44">
        <v>0</v>
      </c>
      <c r="J118" s="44">
        <v>0</v>
      </c>
      <c r="K118" s="44">
        <v>0</v>
      </c>
      <c r="L118" s="44">
        <v>7</v>
      </c>
      <c r="M118" s="44">
        <v>0</v>
      </c>
      <c r="N118" s="44">
        <v>0</v>
      </c>
      <c r="O118" s="44">
        <v>0</v>
      </c>
      <c r="P118" s="90">
        <f t="shared" si="0"/>
        <v>7</v>
      </c>
      <c r="Q118" s="45">
        <f t="shared" si="1"/>
        <v>6663.4615384615381</v>
      </c>
      <c r="R118" s="43">
        <f t="shared" si="2"/>
        <v>6989.3048076923078</v>
      </c>
      <c r="S118" s="43">
        <f t="shared" si="3"/>
        <v>13653</v>
      </c>
      <c r="U118" s="127" t="str">
        <f t="shared" si="4"/>
        <v xml:space="preserve">  7. </v>
      </c>
      <c r="V118" s="149" t="str">
        <f t="shared" si="5"/>
        <v>Do seventh thing</v>
      </c>
      <c r="W118" s="150"/>
      <c r="X118" s="46"/>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c r="AW118" s="47"/>
      <c r="AX118" s="47"/>
      <c r="AY118" s="47"/>
      <c r="AZ118" s="47"/>
      <c r="BA118" s="47"/>
      <c r="BB118" s="47"/>
      <c r="BC118" s="47"/>
      <c r="BD118" s="47"/>
      <c r="BE118" s="47"/>
      <c r="BF118" s="47"/>
      <c r="BG118" s="47"/>
      <c r="BH118" s="47"/>
      <c r="BI118" s="47"/>
      <c r="BJ118" s="47"/>
      <c r="BK118" s="47"/>
      <c r="BL118" s="47"/>
      <c r="BM118" s="47"/>
      <c r="BN118" s="47"/>
      <c r="BO118" s="47"/>
      <c r="BP118" s="47"/>
      <c r="BQ118" s="47"/>
      <c r="BR118" s="47"/>
      <c r="BS118" s="4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18"/>
      <c r="DQ118" s="128"/>
      <c r="DR118" s="128"/>
      <c r="DS118" s="128"/>
      <c r="DT118" s="128"/>
      <c r="DU118" s="128"/>
      <c r="DV118" s="128"/>
      <c r="DW118" s="128"/>
      <c r="DX118" s="128"/>
      <c r="DY118" s="128"/>
      <c r="DZ118" s="128"/>
      <c r="EA118" s="128"/>
      <c r="EB118" s="128"/>
      <c r="EC118" s="128"/>
      <c r="ED118" s="128"/>
      <c r="EE118" s="128"/>
      <c r="EF118" s="128"/>
      <c r="EG118" s="128"/>
      <c r="EH118" s="128"/>
      <c r="EI118" s="128"/>
      <c r="EJ118" s="128"/>
      <c r="EK118" s="128"/>
      <c r="EL118" s="128"/>
      <c r="EM118" s="128"/>
      <c r="EN118" s="128"/>
      <c r="EO118" s="128"/>
      <c r="EP118" s="128"/>
      <c r="EQ118" s="128"/>
      <c r="ER118" s="128"/>
      <c r="ES118" s="128"/>
      <c r="ET118" s="128"/>
      <c r="EU118" s="128"/>
      <c r="EV118" s="128"/>
      <c r="EW118" s="128"/>
      <c r="EX118" s="128"/>
      <c r="EY118" s="128"/>
      <c r="EZ118" s="128"/>
      <c r="FA118" s="128"/>
      <c r="FB118" s="128"/>
      <c r="FC118" s="128"/>
      <c r="FD118" s="128"/>
      <c r="FE118" s="128"/>
      <c r="FF118" s="128"/>
      <c r="FG118" s="128"/>
      <c r="FH118" s="128"/>
      <c r="FI118" s="128"/>
      <c r="FJ118" s="128"/>
      <c r="FK118" s="128"/>
      <c r="FL118" s="128"/>
      <c r="FM118" s="128"/>
      <c r="FN118" s="128"/>
      <c r="FO118" s="128"/>
      <c r="FP118" s="128"/>
      <c r="FQ118" s="128"/>
      <c r="FR118" s="128"/>
    </row>
    <row r="119" spans="3:174" ht="13.7" customHeight="1" x14ac:dyDescent="0.2">
      <c r="C119" s="15" t="str">
        <f>"  8. "</f>
        <v xml:space="preserve">  8. </v>
      </c>
      <c r="D119" s="2" t="s">
        <v>109</v>
      </c>
      <c r="F119" s="44">
        <v>0</v>
      </c>
      <c r="G119" s="44">
        <v>0</v>
      </c>
      <c r="H119" s="44">
        <v>0</v>
      </c>
      <c r="I119" s="44">
        <v>0</v>
      </c>
      <c r="J119" s="44">
        <v>8</v>
      </c>
      <c r="K119" s="44">
        <v>0</v>
      </c>
      <c r="L119" s="44">
        <v>0</v>
      </c>
      <c r="M119" s="44">
        <v>0</v>
      </c>
      <c r="N119" s="44">
        <v>0</v>
      </c>
      <c r="O119" s="44">
        <v>0</v>
      </c>
      <c r="P119" s="90">
        <f t="shared" si="0"/>
        <v>8</v>
      </c>
      <c r="Q119" s="45">
        <f t="shared" si="1"/>
        <v>10076.923076923076</v>
      </c>
      <c r="R119" s="43">
        <f t="shared" si="2"/>
        <v>10569.684615384615</v>
      </c>
      <c r="S119" s="43">
        <f t="shared" si="3"/>
        <v>20647</v>
      </c>
      <c r="U119" s="127" t="str">
        <f t="shared" si="4"/>
        <v xml:space="preserve">  8. </v>
      </c>
      <c r="V119" s="149" t="str">
        <f t="shared" si="5"/>
        <v>Do eighth thing</v>
      </c>
      <c r="W119" s="150"/>
      <c r="X119" s="46"/>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c r="AW119" s="47"/>
      <c r="AX119" s="47"/>
      <c r="AY119" s="47"/>
      <c r="AZ119" s="47"/>
      <c r="BA119" s="47"/>
      <c r="BB119" s="47"/>
      <c r="BC119" s="47"/>
      <c r="BD119" s="47"/>
      <c r="BE119" s="47"/>
      <c r="BF119" s="47"/>
      <c r="BG119" s="47"/>
      <c r="BH119" s="47"/>
      <c r="BI119" s="47"/>
      <c r="BJ119" s="47"/>
      <c r="BK119" s="47"/>
      <c r="BL119" s="47"/>
      <c r="BM119" s="47"/>
      <c r="BN119" s="47"/>
      <c r="BO119" s="47"/>
      <c r="BP119" s="47"/>
      <c r="BQ119" s="47"/>
      <c r="BR119" s="47"/>
      <c r="BS119" s="4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18"/>
      <c r="DQ119" s="128"/>
      <c r="DR119" s="128"/>
      <c r="DS119" s="128"/>
      <c r="DT119" s="128"/>
      <c r="DU119" s="128"/>
      <c r="DV119" s="128"/>
      <c r="DW119" s="128"/>
      <c r="DX119" s="128"/>
      <c r="DY119" s="128"/>
      <c r="DZ119" s="128"/>
      <c r="EA119" s="128"/>
      <c r="EB119" s="128"/>
      <c r="EC119" s="128"/>
      <c r="ED119" s="128"/>
      <c r="EE119" s="128"/>
      <c r="EF119" s="128"/>
      <c r="EG119" s="128"/>
      <c r="EH119" s="128"/>
      <c r="EI119" s="128"/>
      <c r="EJ119" s="128"/>
      <c r="EK119" s="128"/>
      <c r="EL119" s="128"/>
      <c r="EM119" s="128"/>
      <c r="EN119" s="128"/>
      <c r="EO119" s="128"/>
      <c r="EP119" s="128"/>
      <c r="EQ119" s="128"/>
      <c r="ER119" s="128"/>
      <c r="ES119" s="128"/>
      <c r="ET119" s="128"/>
      <c r="EU119" s="128"/>
      <c r="EV119" s="128"/>
      <c r="EW119" s="128"/>
      <c r="EX119" s="128"/>
      <c r="EY119" s="128"/>
      <c r="EZ119" s="128"/>
      <c r="FA119" s="128"/>
      <c r="FB119" s="128"/>
      <c r="FC119" s="128"/>
      <c r="FD119" s="128"/>
      <c r="FE119" s="128"/>
      <c r="FF119" s="128"/>
      <c r="FG119" s="128"/>
      <c r="FH119" s="128"/>
      <c r="FI119" s="128"/>
      <c r="FJ119" s="128"/>
      <c r="FK119" s="128"/>
      <c r="FL119" s="128"/>
      <c r="FM119" s="128"/>
      <c r="FN119" s="128"/>
      <c r="FO119" s="128"/>
      <c r="FP119" s="128"/>
      <c r="FQ119" s="128"/>
      <c r="FR119" s="128"/>
    </row>
    <row r="120" spans="3:174" ht="13.7" customHeight="1" x14ac:dyDescent="0.2">
      <c r="C120" s="15" t="str">
        <f>"  9. "</f>
        <v xml:space="preserve">  9. </v>
      </c>
      <c r="D120" s="2" t="s">
        <v>110</v>
      </c>
      <c r="F120" s="44">
        <v>0</v>
      </c>
      <c r="G120" s="44">
        <v>0</v>
      </c>
      <c r="H120" s="44">
        <v>0</v>
      </c>
      <c r="I120" s="44">
        <v>9</v>
      </c>
      <c r="J120" s="44">
        <v>0</v>
      </c>
      <c r="K120" s="44">
        <v>0</v>
      </c>
      <c r="L120" s="44">
        <v>0</v>
      </c>
      <c r="M120" s="44">
        <v>0</v>
      </c>
      <c r="N120" s="44">
        <v>0</v>
      </c>
      <c r="O120" s="44">
        <v>0</v>
      </c>
      <c r="P120" s="90">
        <f t="shared" si="0"/>
        <v>9</v>
      </c>
      <c r="Q120" s="45">
        <f t="shared" si="1"/>
        <v>13015.384615384615</v>
      </c>
      <c r="R120" s="43">
        <f t="shared" si="2"/>
        <v>13651.836923076922</v>
      </c>
      <c r="S120" s="43">
        <f t="shared" si="3"/>
        <v>26667</v>
      </c>
      <c r="U120" s="127" t="str">
        <f t="shared" si="4"/>
        <v xml:space="preserve">  9. </v>
      </c>
      <c r="V120" s="149" t="str">
        <f t="shared" si="5"/>
        <v>Do ninth thing</v>
      </c>
      <c r="W120" s="150"/>
      <c r="X120" s="46"/>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c r="AW120" s="47"/>
      <c r="AX120" s="47"/>
      <c r="AY120" s="47"/>
      <c r="AZ120" s="47"/>
      <c r="BA120" s="47"/>
      <c r="BB120" s="47"/>
      <c r="BC120" s="47"/>
      <c r="BD120" s="47"/>
      <c r="BE120" s="47"/>
      <c r="BF120" s="47"/>
      <c r="BG120" s="47"/>
      <c r="BH120" s="47"/>
      <c r="BI120" s="47"/>
      <c r="BJ120" s="47"/>
      <c r="BK120" s="47"/>
      <c r="BL120" s="47"/>
      <c r="BM120" s="47"/>
      <c r="BN120" s="47"/>
      <c r="BO120" s="47"/>
      <c r="BP120" s="47"/>
      <c r="BQ120" s="47"/>
      <c r="BR120" s="47"/>
      <c r="BS120" s="4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18"/>
      <c r="DQ120" s="128"/>
      <c r="DR120" s="128"/>
      <c r="DS120" s="128"/>
      <c r="DT120" s="128"/>
      <c r="DU120" s="128"/>
      <c r="DV120" s="128"/>
      <c r="DW120" s="128"/>
      <c r="DX120" s="128"/>
      <c r="DY120" s="128"/>
      <c r="DZ120" s="128"/>
      <c r="EA120" s="128"/>
      <c r="EB120" s="128"/>
      <c r="EC120" s="128"/>
      <c r="ED120" s="128"/>
      <c r="EE120" s="128"/>
      <c r="EF120" s="128"/>
      <c r="EG120" s="128"/>
      <c r="EH120" s="128"/>
      <c r="EI120" s="128"/>
      <c r="EJ120" s="128"/>
      <c r="EK120" s="128"/>
      <c r="EL120" s="128"/>
      <c r="EM120" s="128"/>
      <c r="EN120" s="128"/>
      <c r="EO120" s="128"/>
      <c r="EP120" s="128"/>
      <c r="EQ120" s="128"/>
      <c r="ER120" s="128"/>
      <c r="ES120" s="128"/>
      <c r="ET120" s="128"/>
      <c r="EU120" s="128"/>
      <c r="EV120" s="128"/>
      <c r="EW120" s="128"/>
      <c r="EX120" s="128"/>
      <c r="EY120" s="128"/>
      <c r="EZ120" s="128"/>
      <c r="FA120" s="128"/>
      <c r="FB120" s="128"/>
      <c r="FC120" s="128"/>
      <c r="FD120" s="128"/>
      <c r="FE120" s="128"/>
      <c r="FF120" s="128"/>
      <c r="FG120" s="128"/>
      <c r="FH120" s="128"/>
      <c r="FI120" s="128"/>
      <c r="FJ120" s="128"/>
      <c r="FK120" s="128"/>
      <c r="FL120" s="128"/>
      <c r="FM120" s="128"/>
      <c r="FN120" s="128"/>
      <c r="FO120" s="128"/>
      <c r="FP120" s="128"/>
      <c r="FQ120" s="128"/>
      <c r="FR120" s="128"/>
    </row>
    <row r="121" spans="3:174" ht="13.7" customHeight="1" x14ac:dyDescent="0.2">
      <c r="C121" s="15" t="str">
        <f>"10. "</f>
        <v xml:space="preserve">10. </v>
      </c>
      <c r="D121" s="2" t="s">
        <v>111</v>
      </c>
      <c r="F121" s="44">
        <v>0</v>
      </c>
      <c r="G121" s="44">
        <v>0</v>
      </c>
      <c r="H121" s="44">
        <v>10</v>
      </c>
      <c r="I121" s="44">
        <v>0</v>
      </c>
      <c r="J121" s="44">
        <v>0</v>
      </c>
      <c r="K121" s="44">
        <v>0</v>
      </c>
      <c r="L121" s="44">
        <v>0</v>
      </c>
      <c r="M121" s="44">
        <v>0</v>
      </c>
      <c r="N121" s="44">
        <v>0</v>
      </c>
      <c r="O121" s="44">
        <v>0</v>
      </c>
      <c r="P121" s="90">
        <f t="shared" si="0"/>
        <v>10</v>
      </c>
      <c r="Q121" s="45">
        <f t="shared" ref="Q121" si="6">P178</f>
        <v>19865.384615384617</v>
      </c>
      <c r="R121" s="43">
        <f t="shared" si="2"/>
        <v>20836.801923076924</v>
      </c>
      <c r="S121" s="43">
        <f t="shared" si="3"/>
        <v>40702</v>
      </c>
      <c r="U121" s="127" t="str">
        <f t="shared" si="4"/>
        <v xml:space="preserve">10. </v>
      </c>
      <c r="V121" s="149" t="str">
        <f t="shared" si="5"/>
        <v>Do tenth thing</v>
      </c>
      <c r="W121" s="150"/>
      <c r="X121" s="46"/>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c r="AW121" s="47"/>
      <c r="AX121" s="47"/>
      <c r="AY121" s="47"/>
      <c r="AZ121" s="47"/>
      <c r="BA121" s="47"/>
      <c r="BB121" s="47"/>
      <c r="BC121" s="47"/>
      <c r="BD121" s="47"/>
      <c r="BE121" s="47"/>
      <c r="BF121" s="47"/>
      <c r="BG121" s="47"/>
      <c r="BH121" s="47"/>
      <c r="BI121" s="47"/>
      <c r="BJ121" s="47"/>
      <c r="BK121" s="47"/>
      <c r="BL121" s="47"/>
      <c r="BM121" s="47"/>
      <c r="BN121" s="47"/>
      <c r="BO121" s="47"/>
      <c r="BP121" s="47"/>
      <c r="BQ121" s="47"/>
      <c r="BR121" s="47"/>
      <c r="BS121" s="4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18"/>
      <c r="DQ121" s="128"/>
      <c r="DR121" s="128"/>
      <c r="DS121" s="128"/>
      <c r="DT121" s="128"/>
      <c r="DU121" s="128"/>
      <c r="DV121" s="128"/>
      <c r="DW121" s="128"/>
      <c r="DX121" s="128"/>
      <c r="DY121" s="128"/>
      <c r="DZ121" s="128"/>
      <c r="EA121" s="128"/>
      <c r="EB121" s="128"/>
      <c r="EC121" s="128"/>
      <c r="ED121" s="128"/>
      <c r="EE121" s="128"/>
      <c r="EF121" s="128"/>
      <c r="EG121" s="128"/>
      <c r="EH121" s="128"/>
      <c r="EI121" s="128"/>
      <c r="EJ121" s="128"/>
      <c r="EK121" s="128"/>
      <c r="EL121" s="128"/>
      <c r="EM121" s="128"/>
      <c r="EN121" s="128"/>
      <c r="EO121" s="128"/>
      <c r="EP121" s="128"/>
      <c r="EQ121" s="128"/>
      <c r="ER121" s="128"/>
      <c r="ES121" s="128"/>
      <c r="ET121" s="128"/>
      <c r="EU121" s="128"/>
      <c r="EV121" s="128"/>
      <c r="EW121" s="128"/>
      <c r="EX121" s="128"/>
      <c r="EY121" s="128"/>
      <c r="EZ121" s="128"/>
      <c r="FA121" s="128"/>
      <c r="FB121" s="128"/>
      <c r="FC121" s="128"/>
      <c r="FD121" s="128"/>
      <c r="FE121" s="128"/>
      <c r="FF121" s="128"/>
      <c r="FG121" s="128"/>
      <c r="FH121" s="128"/>
      <c r="FI121" s="128"/>
      <c r="FJ121" s="128"/>
      <c r="FK121" s="128"/>
      <c r="FL121" s="128"/>
      <c r="FM121" s="128"/>
      <c r="FN121" s="128"/>
      <c r="FO121" s="128"/>
      <c r="FP121" s="128"/>
      <c r="FQ121" s="128"/>
      <c r="FR121" s="128"/>
    </row>
    <row r="122" spans="3:174" ht="15" customHeight="1" x14ac:dyDescent="0.2">
      <c r="C122" s="96" t="s">
        <v>102</v>
      </c>
      <c r="D122" s="102"/>
      <c r="E122" s="102"/>
      <c r="F122" s="103"/>
      <c r="G122" s="103"/>
      <c r="H122" s="103"/>
      <c r="I122" s="103"/>
      <c r="J122" s="103"/>
      <c r="K122" s="103"/>
      <c r="L122" s="103"/>
      <c r="M122" s="103"/>
      <c r="N122" s="103"/>
      <c r="O122" s="104"/>
      <c r="P122" s="105"/>
      <c r="Q122" s="106"/>
      <c r="R122" s="107"/>
      <c r="S122" s="107"/>
      <c r="T122" s="108"/>
      <c r="U122" s="135"/>
      <c r="V122" s="147"/>
      <c r="W122" s="147"/>
      <c r="X122" s="137"/>
      <c r="Y122" s="137"/>
      <c r="Z122" s="137"/>
      <c r="AA122" s="137"/>
      <c r="AB122" s="137"/>
      <c r="AC122" s="137"/>
      <c r="AD122" s="137"/>
      <c r="AE122" s="137"/>
      <c r="AF122" s="137"/>
      <c r="AG122" s="137"/>
      <c r="AH122" s="137"/>
      <c r="AI122" s="137"/>
      <c r="AJ122" s="137"/>
      <c r="AK122" s="137"/>
      <c r="AL122" s="137"/>
      <c r="AM122" s="137"/>
      <c r="AN122" s="137"/>
      <c r="AO122" s="137"/>
      <c r="AP122" s="137"/>
      <c r="AQ122" s="137"/>
      <c r="AR122" s="137"/>
      <c r="AS122" s="137"/>
      <c r="AT122" s="137"/>
      <c r="AU122" s="137"/>
      <c r="AV122" s="137"/>
      <c r="AW122" s="137"/>
      <c r="AX122" s="137"/>
      <c r="AY122" s="137"/>
      <c r="AZ122" s="137"/>
      <c r="BA122" s="137"/>
      <c r="BB122" s="137"/>
      <c r="BC122" s="137"/>
      <c r="BD122" s="137"/>
      <c r="BE122" s="137"/>
      <c r="BF122" s="137"/>
      <c r="BG122" s="137"/>
      <c r="BH122" s="137"/>
      <c r="BI122" s="137"/>
      <c r="BJ122" s="137"/>
      <c r="BK122" s="137"/>
      <c r="BL122" s="137"/>
      <c r="BM122" s="137"/>
      <c r="BN122" s="137"/>
      <c r="BO122" s="137"/>
      <c r="BP122" s="137"/>
      <c r="BQ122" s="137"/>
      <c r="BR122" s="137"/>
      <c r="BS122" s="137"/>
      <c r="BT122" s="137"/>
      <c r="BU122" s="137"/>
      <c r="BV122" s="137"/>
      <c r="BW122" s="137"/>
      <c r="BX122" s="137"/>
      <c r="BY122" s="137"/>
      <c r="BZ122" s="137"/>
      <c r="CA122" s="137"/>
      <c r="CB122" s="137"/>
      <c r="CC122" s="137"/>
      <c r="CD122" s="137"/>
      <c r="CE122" s="137"/>
      <c r="CF122" s="137"/>
      <c r="CG122" s="137"/>
      <c r="CH122" s="137"/>
      <c r="CI122" s="137"/>
      <c r="CJ122" s="137"/>
      <c r="CK122" s="137"/>
      <c r="CL122" s="137"/>
      <c r="CM122" s="137"/>
      <c r="CN122" s="137"/>
      <c r="CO122" s="137"/>
      <c r="CP122" s="137"/>
      <c r="CQ122" s="137"/>
      <c r="CR122" s="137"/>
      <c r="CS122" s="137"/>
      <c r="CT122" s="137"/>
      <c r="CU122" s="137"/>
      <c r="CV122" s="137"/>
      <c r="CW122" s="137"/>
      <c r="CX122" s="137"/>
      <c r="CY122" s="137"/>
      <c r="CZ122" s="137"/>
      <c r="DA122" s="137"/>
      <c r="DB122" s="137"/>
      <c r="DC122" s="137"/>
      <c r="DD122" s="137"/>
      <c r="DE122" s="137"/>
      <c r="DF122" s="137"/>
      <c r="DG122" s="137"/>
      <c r="DH122" s="137"/>
      <c r="DI122" s="137"/>
      <c r="DJ122" s="137"/>
      <c r="DK122" s="137"/>
      <c r="DL122" s="137"/>
      <c r="DM122" s="137"/>
      <c r="DN122" s="137"/>
      <c r="DO122" s="137"/>
      <c r="DP122" s="120"/>
      <c r="DQ122" s="128"/>
      <c r="DR122" s="128"/>
      <c r="DS122" s="128"/>
      <c r="DT122" s="128"/>
      <c r="DU122" s="128"/>
      <c r="DV122" s="128"/>
      <c r="DW122" s="128"/>
      <c r="DX122" s="128"/>
      <c r="DY122" s="128"/>
      <c r="DZ122" s="128"/>
      <c r="EA122" s="128"/>
      <c r="EB122" s="128"/>
      <c r="EC122" s="128"/>
      <c r="ED122" s="128"/>
      <c r="EE122" s="128"/>
      <c r="EF122" s="128"/>
      <c r="EG122" s="128"/>
      <c r="EH122" s="128"/>
      <c r="EI122" s="128"/>
      <c r="EJ122" s="128"/>
      <c r="EK122" s="128"/>
      <c r="EL122" s="128"/>
      <c r="EM122" s="128"/>
      <c r="EN122" s="128"/>
      <c r="EO122" s="128"/>
      <c r="EP122" s="128"/>
      <c r="EQ122" s="128"/>
      <c r="ER122" s="128"/>
      <c r="ES122" s="128"/>
      <c r="ET122" s="128"/>
      <c r="EU122" s="128"/>
      <c r="EV122" s="128"/>
      <c r="EW122" s="128"/>
      <c r="EX122" s="128"/>
      <c r="EY122" s="128"/>
      <c r="EZ122" s="128"/>
      <c r="FA122" s="128"/>
      <c r="FB122" s="128"/>
      <c r="FC122" s="128"/>
      <c r="FD122" s="128"/>
      <c r="FE122" s="128"/>
      <c r="FF122" s="128"/>
      <c r="FG122" s="128"/>
      <c r="FH122" s="128"/>
      <c r="FI122" s="128"/>
      <c r="FJ122" s="128"/>
      <c r="FK122" s="128"/>
      <c r="FL122" s="128"/>
      <c r="FM122" s="128"/>
      <c r="FN122" s="128"/>
      <c r="FO122" s="128"/>
      <c r="FP122" s="128"/>
      <c r="FQ122" s="128"/>
      <c r="FR122" s="128"/>
    </row>
    <row r="123" spans="3:174" x14ac:dyDescent="0.2">
      <c r="C123" s="19"/>
      <c r="D123" s="21" t="s">
        <v>59</v>
      </c>
      <c r="E123" s="21"/>
      <c r="F123" s="49">
        <f t="shared" ref="F123:O123" si="7">SUM(F111:F122)</f>
        <v>0</v>
      </c>
      <c r="G123" s="49">
        <f t="shared" si="7"/>
        <v>1</v>
      </c>
      <c r="H123" s="49">
        <f t="shared" si="7"/>
        <v>12</v>
      </c>
      <c r="I123" s="49">
        <f t="shared" si="7"/>
        <v>12</v>
      </c>
      <c r="J123" s="49">
        <f t="shared" si="7"/>
        <v>12</v>
      </c>
      <c r="K123" s="49">
        <f t="shared" si="7"/>
        <v>0</v>
      </c>
      <c r="L123" s="49">
        <f t="shared" si="7"/>
        <v>12</v>
      </c>
      <c r="M123" s="49">
        <f t="shared" si="7"/>
        <v>0</v>
      </c>
      <c r="N123" s="49">
        <f t="shared" si="7"/>
        <v>0</v>
      </c>
      <c r="O123" s="50">
        <f t="shared" si="7"/>
        <v>6</v>
      </c>
      <c r="P123" s="91">
        <f>SUM(P112:P121)</f>
        <v>55</v>
      </c>
      <c r="Q123" s="51">
        <f>SUM(Q112:Q121)</f>
        <v>72763.461538461532</v>
      </c>
      <c r="R123" s="52">
        <f>ROUND(SUM(R112:R121),0)</f>
        <v>76322</v>
      </c>
      <c r="S123" s="43">
        <f>SUM(S112:S121)</f>
        <v>149084</v>
      </c>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c r="AZ123" s="21"/>
      <c r="BA123" s="21"/>
      <c r="BB123" s="21"/>
      <c r="BC123" s="21"/>
      <c r="BD123" s="21"/>
      <c r="BE123" s="21"/>
      <c r="BF123" s="21"/>
      <c r="BG123" s="21"/>
      <c r="BH123" s="21"/>
      <c r="BI123" s="21"/>
      <c r="BJ123" s="21"/>
      <c r="BK123" s="21"/>
      <c r="BL123" s="21"/>
      <c r="BM123" s="21"/>
      <c r="BN123" s="21"/>
      <c r="BO123" s="21"/>
      <c r="BP123" s="21"/>
      <c r="BQ123" s="21"/>
      <c r="BR123" s="21"/>
      <c r="BS123" s="21"/>
      <c r="BT123" s="21"/>
      <c r="BU123" s="21"/>
      <c r="BV123" s="21"/>
      <c r="BW123" s="21"/>
      <c r="BX123" s="21"/>
      <c r="BY123" s="21"/>
      <c r="BZ123" s="21"/>
      <c r="CA123" s="21"/>
      <c r="CB123" s="21"/>
      <c r="CC123" s="21"/>
      <c r="CD123" s="21"/>
      <c r="CE123" s="21"/>
      <c r="CF123" s="21"/>
      <c r="CG123" s="21"/>
      <c r="CH123" s="21"/>
      <c r="CI123" s="21"/>
      <c r="CJ123" s="21"/>
      <c r="CK123" s="21"/>
      <c r="CL123" s="21"/>
      <c r="CM123" s="21"/>
      <c r="CN123" s="21"/>
      <c r="CO123" s="21"/>
      <c r="CP123" s="21"/>
      <c r="CQ123" s="21"/>
      <c r="CR123" s="21"/>
      <c r="CS123" s="21"/>
      <c r="CT123" s="21"/>
      <c r="CU123" s="21"/>
      <c r="CV123" s="21"/>
      <c r="CW123" s="21"/>
      <c r="CX123" s="21"/>
      <c r="CY123" s="21"/>
      <c r="CZ123" s="21"/>
      <c r="DA123" s="21"/>
      <c r="DB123" s="21"/>
      <c r="DC123" s="21"/>
      <c r="DD123" s="21"/>
      <c r="DE123" s="21"/>
      <c r="DF123" s="21"/>
      <c r="DG123" s="21"/>
      <c r="DH123" s="21"/>
      <c r="DI123" s="21"/>
      <c r="DJ123" s="21"/>
      <c r="DK123" s="21"/>
      <c r="DL123" s="21"/>
      <c r="DM123" s="21"/>
      <c r="DN123" s="21"/>
      <c r="DO123" s="21"/>
      <c r="DP123" s="120"/>
      <c r="DQ123" s="128"/>
      <c r="DR123" s="128"/>
      <c r="DS123" s="128"/>
      <c r="DT123" s="128"/>
      <c r="DU123" s="128"/>
      <c r="DV123" s="128"/>
      <c r="DW123" s="128"/>
      <c r="DX123" s="128"/>
      <c r="DY123" s="128"/>
      <c r="DZ123" s="128"/>
      <c r="EA123" s="128"/>
      <c r="EB123" s="128"/>
      <c r="EC123" s="128"/>
      <c r="ED123" s="128"/>
      <c r="EE123" s="128"/>
      <c r="EF123" s="128"/>
      <c r="EG123" s="128"/>
      <c r="EH123" s="128"/>
      <c r="EI123" s="128"/>
      <c r="EJ123" s="128"/>
      <c r="EK123" s="128"/>
      <c r="EL123" s="128"/>
      <c r="EM123" s="128"/>
      <c r="EN123" s="128"/>
      <c r="EO123" s="128"/>
      <c r="EP123" s="128"/>
      <c r="EQ123" s="128"/>
      <c r="ER123" s="128"/>
      <c r="ES123" s="128"/>
      <c r="ET123" s="128"/>
      <c r="EU123" s="128"/>
      <c r="EV123" s="128"/>
      <c r="EW123" s="128"/>
      <c r="EX123" s="128"/>
      <c r="EY123" s="128"/>
      <c r="EZ123" s="128"/>
      <c r="FA123" s="128"/>
      <c r="FB123" s="128"/>
      <c r="FC123" s="128"/>
      <c r="FD123" s="128"/>
      <c r="FE123" s="128"/>
      <c r="FF123" s="128"/>
      <c r="FG123" s="128"/>
      <c r="FH123" s="128"/>
      <c r="FI123" s="128"/>
      <c r="FJ123" s="128"/>
      <c r="FK123" s="128"/>
      <c r="FL123" s="128"/>
      <c r="FM123" s="128"/>
      <c r="FN123" s="128"/>
      <c r="FO123" s="128"/>
      <c r="FP123" s="128"/>
      <c r="FQ123" s="128"/>
      <c r="FR123" s="128"/>
    </row>
    <row r="124" spans="3:174" ht="16.7" customHeight="1" x14ac:dyDescent="0.2">
      <c r="C124" s="19"/>
      <c r="D124" s="21"/>
      <c r="E124" s="21"/>
      <c r="F124" s="22"/>
      <c r="G124" s="22"/>
      <c r="H124" s="22"/>
      <c r="I124" s="22"/>
      <c r="J124" s="22"/>
      <c r="K124" s="22"/>
      <c r="L124" s="22"/>
      <c r="M124" s="22"/>
      <c r="N124" s="22"/>
      <c r="O124" s="22"/>
      <c r="P124" s="53"/>
      <c r="Q124" s="53"/>
      <c r="R124" s="52"/>
      <c r="S124" s="43"/>
      <c r="U124" s="2" t="s">
        <v>60</v>
      </c>
      <c r="DP124" s="118"/>
      <c r="DQ124" s="128"/>
      <c r="DR124" s="128"/>
      <c r="DS124" s="128"/>
      <c r="DT124" s="128"/>
      <c r="DU124" s="128"/>
      <c r="DV124" s="128"/>
      <c r="DW124" s="128"/>
      <c r="DX124" s="128"/>
      <c r="DY124" s="128"/>
      <c r="DZ124" s="128"/>
      <c r="EA124" s="128"/>
      <c r="EB124" s="128"/>
      <c r="EC124" s="128"/>
      <c r="ED124" s="128"/>
      <c r="EE124" s="128"/>
      <c r="EF124" s="128"/>
      <c r="EG124" s="128"/>
      <c r="EH124" s="128"/>
      <c r="EI124" s="128"/>
      <c r="EJ124" s="128"/>
      <c r="EK124" s="128"/>
      <c r="EL124" s="128"/>
      <c r="EM124" s="128"/>
      <c r="EN124" s="128"/>
      <c r="EO124" s="128"/>
      <c r="EP124" s="128"/>
      <c r="EQ124" s="128"/>
      <c r="ER124" s="128"/>
      <c r="ES124" s="128"/>
      <c r="ET124" s="128"/>
      <c r="EU124" s="128"/>
      <c r="EV124" s="128"/>
      <c r="EW124" s="128"/>
      <c r="EX124" s="128"/>
      <c r="EY124" s="128"/>
      <c r="EZ124" s="128"/>
      <c r="FA124" s="128"/>
      <c r="FB124" s="128"/>
      <c r="FC124" s="128"/>
      <c r="FD124" s="128"/>
      <c r="FE124" s="128"/>
      <c r="FF124" s="128"/>
      <c r="FG124" s="128"/>
      <c r="FH124" s="128"/>
      <c r="FI124" s="128"/>
      <c r="FJ124" s="128"/>
      <c r="FK124" s="128"/>
      <c r="FL124" s="128"/>
      <c r="FM124" s="128"/>
      <c r="FN124" s="128"/>
      <c r="FO124" s="128"/>
      <c r="FP124" s="128"/>
      <c r="FQ124" s="128"/>
      <c r="FR124" s="128"/>
    </row>
    <row r="125" spans="3:174" ht="15" customHeight="1" x14ac:dyDescent="0.2">
      <c r="C125" s="25" t="s">
        <v>61</v>
      </c>
      <c r="D125" s="26"/>
      <c r="E125" s="27"/>
      <c r="F125" s="27"/>
      <c r="G125" s="28"/>
      <c r="H125" s="28"/>
      <c r="I125" s="28"/>
      <c r="J125" s="28"/>
      <c r="K125" s="28"/>
      <c r="L125" s="28"/>
      <c r="M125" s="28"/>
      <c r="N125" s="28"/>
      <c r="O125" s="28"/>
      <c r="P125" s="28"/>
      <c r="Q125" s="54"/>
      <c r="R125" s="54"/>
      <c r="S125" s="55"/>
      <c r="T125" s="29">
        <f>SUM(S127:S132)</f>
        <v>2100</v>
      </c>
      <c r="V125" s="2" t="s">
        <v>113</v>
      </c>
      <c r="W125" s="2" t="s">
        <v>117</v>
      </c>
      <c r="DP125" s="118"/>
      <c r="DQ125" s="128"/>
      <c r="DR125" s="128"/>
      <c r="DS125" s="128"/>
      <c r="DT125" s="128"/>
      <c r="DU125" s="128"/>
      <c r="DV125" s="128"/>
      <c r="DW125" s="128"/>
      <c r="DX125" s="128"/>
      <c r="DY125" s="128"/>
      <c r="DZ125" s="128"/>
      <c r="EA125" s="128"/>
      <c r="EB125" s="128"/>
      <c r="EC125" s="128"/>
      <c r="ED125" s="128"/>
      <c r="EE125" s="128"/>
      <c r="EF125" s="128"/>
      <c r="EG125" s="128"/>
      <c r="EH125" s="128"/>
      <c r="EI125" s="128"/>
      <c r="EJ125" s="128"/>
      <c r="EK125" s="128"/>
      <c r="EL125" s="128"/>
      <c r="EM125" s="128"/>
      <c r="EN125" s="128"/>
      <c r="EO125" s="128"/>
      <c r="EP125" s="128"/>
      <c r="EQ125" s="128"/>
      <c r="ER125" s="128"/>
      <c r="ES125" s="128"/>
      <c r="ET125" s="128"/>
      <c r="EU125" s="128"/>
      <c r="EV125" s="128"/>
      <c r="EW125" s="128"/>
      <c r="EX125" s="128"/>
      <c r="EY125" s="128"/>
      <c r="EZ125" s="128"/>
      <c r="FA125" s="128"/>
      <c r="FB125" s="128"/>
      <c r="FC125" s="128"/>
      <c r="FD125" s="128"/>
      <c r="FE125" s="128"/>
      <c r="FF125" s="128"/>
      <c r="FG125" s="128"/>
      <c r="FH125" s="128"/>
      <c r="FI125" s="128"/>
      <c r="FJ125" s="128"/>
      <c r="FK125" s="128"/>
      <c r="FL125" s="128"/>
      <c r="FM125" s="128"/>
      <c r="FN125" s="128"/>
      <c r="FO125" s="128"/>
      <c r="FP125" s="128"/>
      <c r="FQ125" s="128"/>
      <c r="FR125" s="128"/>
    </row>
    <row r="126" spans="3:174" ht="15" customHeight="1" x14ac:dyDescent="0.2">
      <c r="C126" s="18"/>
      <c r="P126" s="17"/>
      <c r="Q126" s="56"/>
      <c r="R126" s="56"/>
      <c r="S126" s="43"/>
      <c r="T126" s="43"/>
      <c r="V126" s="2" t="s">
        <v>114</v>
      </c>
      <c r="W126" s="2" t="s">
        <v>118</v>
      </c>
      <c r="DP126" s="118"/>
      <c r="DQ126" s="128"/>
      <c r="DR126" s="128"/>
      <c r="DS126" s="128"/>
      <c r="DT126" s="128"/>
      <c r="DU126" s="128"/>
      <c r="DV126" s="128"/>
      <c r="DW126" s="128"/>
      <c r="DX126" s="128"/>
      <c r="DY126" s="128"/>
      <c r="DZ126" s="128"/>
      <c r="EA126" s="128"/>
      <c r="EB126" s="128"/>
      <c r="EC126" s="128"/>
      <c r="ED126" s="128"/>
      <c r="EE126" s="128"/>
      <c r="EF126" s="128"/>
      <c r="EG126" s="128"/>
      <c r="EH126" s="128"/>
      <c r="EI126" s="128"/>
      <c r="EJ126" s="128"/>
      <c r="EK126" s="128"/>
      <c r="EL126" s="128"/>
      <c r="EM126" s="128"/>
      <c r="EN126" s="128"/>
      <c r="EO126" s="128"/>
      <c r="EP126" s="128"/>
      <c r="EQ126" s="128"/>
      <c r="ER126" s="128"/>
      <c r="ES126" s="128"/>
      <c r="ET126" s="128"/>
      <c r="EU126" s="128"/>
      <c r="EV126" s="128"/>
      <c r="EW126" s="128"/>
      <c r="EX126" s="128"/>
      <c r="EY126" s="128"/>
      <c r="EZ126" s="128"/>
      <c r="FA126" s="128"/>
      <c r="FB126" s="128"/>
      <c r="FC126" s="128"/>
      <c r="FD126" s="128"/>
      <c r="FE126" s="128"/>
      <c r="FF126" s="128"/>
      <c r="FG126" s="128"/>
      <c r="FH126" s="128"/>
      <c r="FI126" s="128"/>
      <c r="FJ126" s="128"/>
      <c r="FK126" s="128"/>
      <c r="FL126" s="128"/>
      <c r="FM126" s="128"/>
      <c r="FN126" s="128"/>
      <c r="FO126" s="128"/>
      <c r="FP126" s="128"/>
      <c r="FQ126" s="128"/>
      <c r="FR126" s="128"/>
    </row>
    <row r="127" spans="3:174" ht="15" customHeight="1" x14ac:dyDescent="0.2">
      <c r="D127" s="15" t="s">
        <v>15</v>
      </c>
      <c r="P127" s="17"/>
      <c r="R127" s="56"/>
      <c r="S127" s="43">
        <v>100</v>
      </c>
      <c r="T127" s="43"/>
      <c r="V127" s="2" t="s">
        <v>115</v>
      </c>
      <c r="W127" s="2" t="s">
        <v>116</v>
      </c>
      <c r="DP127" s="118"/>
      <c r="DQ127" s="128"/>
      <c r="DR127" s="128"/>
      <c r="DS127" s="128"/>
      <c r="DT127" s="128"/>
      <c r="DU127" s="128"/>
      <c r="DV127" s="128"/>
      <c r="DW127" s="128"/>
      <c r="DX127" s="128"/>
      <c r="DY127" s="128"/>
      <c r="DZ127" s="128"/>
      <c r="EA127" s="128"/>
      <c r="EB127" s="128"/>
      <c r="EC127" s="128"/>
      <c r="ED127" s="128"/>
      <c r="EE127" s="128"/>
      <c r="EF127" s="128"/>
      <c r="EG127" s="128"/>
      <c r="EH127" s="128"/>
      <c r="EI127" s="128"/>
      <c r="EJ127" s="128"/>
      <c r="EK127" s="128"/>
      <c r="EL127" s="128"/>
      <c r="EM127" s="128"/>
      <c r="EN127" s="128"/>
      <c r="EO127" s="128"/>
      <c r="EP127" s="128"/>
      <c r="EQ127" s="128"/>
      <c r="ER127" s="128"/>
      <c r="ES127" s="128"/>
      <c r="ET127" s="128"/>
      <c r="EU127" s="128"/>
      <c r="EV127" s="128"/>
      <c r="EW127" s="128"/>
      <c r="EX127" s="128"/>
      <c r="EY127" s="128"/>
      <c r="EZ127" s="128"/>
      <c r="FA127" s="128"/>
      <c r="FB127" s="128"/>
      <c r="FC127" s="128"/>
      <c r="FD127" s="128"/>
      <c r="FE127" s="128"/>
      <c r="FF127" s="128"/>
      <c r="FG127" s="128"/>
      <c r="FH127" s="128"/>
      <c r="FI127" s="128"/>
      <c r="FJ127" s="128"/>
      <c r="FK127" s="128"/>
      <c r="FL127" s="128"/>
      <c r="FM127" s="128"/>
      <c r="FN127" s="128"/>
      <c r="FO127" s="128"/>
      <c r="FP127" s="128"/>
      <c r="FQ127" s="128"/>
      <c r="FR127" s="128"/>
    </row>
    <row r="128" spans="3:174" ht="16.5" customHeight="1" x14ac:dyDescent="0.2">
      <c r="D128" s="15" t="s">
        <v>78</v>
      </c>
      <c r="P128" s="17"/>
      <c r="R128" s="56"/>
      <c r="S128" s="43">
        <v>200</v>
      </c>
      <c r="T128" s="43"/>
      <c r="DP128" s="118"/>
      <c r="FM128" s="124"/>
      <c r="FN128" s="124"/>
    </row>
    <row r="129" spans="3:120" ht="16.5" customHeight="1" x14ac:dyDescent="0.2">
      <c r="D129" s="15" t="s">
        <v>79</v>
      </c>
      <c r="P129" s="17"/>
      <c r="R129" s="56"/>
      <c r="S129" s="43">
        <v>300</v>
      </c>
      <c r="T129" s="43"/>
      <c r="DP129" s="118"/>
    </row>
    <row r="130" spans="3:120" ht="16.5" customHeight="1" x14ac:dyDescent="0.2">
      <c r="D130" s="2" t="s">
        <v>18</v>
      </c>
      <c r="G130" s="2"/>
      <c r="H130" s="2"/>
      <c r="I130" s="2"/>
      <c r="J130" s="2"/>
      <c r="K130" s="2"/>
      <c r="L130" s="2"/>
      <c r="M130" s="2"/>
      <c r="N130" s="2"/>
      <c r="O130" s="2"/>
      <c r="R130" s="56"/>
      <c r="S130" s="43">
        <v>400</v>
      </c>
      <c r="T130" s="43"/>
      <c r="DP130" s="118"/>
    </row>
    <row r="131" spans="3:120" ht="16.5" customHeight="1" x14ac:dyDescent="0.2">
      <c r="D131" s="2" t="s">
        <v>136</v>
      </c>
      <c r="G131" s="2"/>
      <c r="H131" s="2"/>
      <c r="I131" s="2"/>
      <c r="J131" s="2"/>
      <c r="K131" s="2"/>
      <c r="L131" s="2"/>
      <c r="M131" s="2"/>
      <c r="N131" s="2"/>
      <c r="O131" s="2"/>
      <c r="R131" s="56"/>
      <c r="S131" s="43">
        <v>500</v>
      </c>
      <c r="T131" s="43"/>
    </row>
    <row r="132" spans="3:120" ht="16.5" customHeight="1" x14ac:dyDescent="0.2">
      <c r="D132" s="15" t="s">
        <v>62</v>
      </c>
      <c r="P132" s="17"/>
      <c r="R132" s="56"/>
      <c r="S132" s="43">
        <v>600</v>
      </c>
      <c r="T132" s="43"/>
    </row>
    <row r="133" spans="3:120" ht="16.7" customHeight="1" x14ac:dyDescent="0.2">
      <c r="P133" s="17"/>
      <c r="Q133" s="56"/>
      <c r="R133" s="56"/>
      <c r="S133" s="57"/>
      <c r="T133" s="43"/>
    </row>
    <row r="134" spans="3:120" ht="15" customHeight="1" x14ac:dyDescent="0.2">
      <c r="C134" s="25" t="s">
        <v>63</v>
      </c>
      <c r="D134" s="58"/>
      <c r="E134" s="27"/>
      <c r="F134" s="27"/>
      <c r="G134" s="28"/>
      <c r="H134" s="28"/>
      <c r="I134" s="28"/>
      <c r="J134" s="28"/>
      <c r="K134" s="28"/>
      <c r="L134" s="28"/>
      <c r="M134" s="28"/>
      <c r="N134" s="28"/>
      <c r="O134" s="28"/>
      <c r="P134" s="28"/>
      <c r="Q134" s="54"/>
      <c r="R134" s="54"/>
      <c r="S134" s="59"/>
      <c r="T134" s="29">
        <f>SUM(T107+T125)</f>
        <v>151184</v>
      </c>
    </row>
    <row r="135" spans="3:120" ht="15.95" customHeight="1" x14ac:dyDescent="0.2">
      <c r="C135" s="60"/>
      <c r="D135" s="61"/>
      <c r="E135" s="21"/>
      <c r="F135" s="21"/>
      <c r="G135" s="22"/>
      <c r="H135" s="22"/>
      <c r="I135" s="22"/>
      <c r="J135" s="22"/>
      <c r="K135" s="22"/>
      <c r="L135" s="22"/>
      <c r="M135" s="22"/>
      <c r="N135" s="22"/>
      <c r="O135" s="22"/>
      <c r="P135" s="53"/>
      <c r="Q135" s="53"/>
      <c r="R135" s="62"/>
      <c r="S135" s="63"/>
    </row>
    <row r="136" spans="3:120" ht="15" customHeight="1" x14ac:dyDescent="0.2">
      <c r="C136" s="64" t="s">
        <v>99</v>
      </c>
      <c r="D136" s="61"/>
      <c r="E136" s="21"/>
      <c r="F136" s="21"/>
      <c r="G136" s="22"/>
      <c r="H136" s="22"/>
      <c r="I136" s="22"/>
      <c r="J136" s="22"/>
      <c r="K136" s="22"/>
      <c r="L136" s="22"/>
      <c r="M136" s="22"/>
      <c r="N136" s="22"/>
      <c r="O136" s="22"/>
      <c r="P136" s="53"/>
      <c r="Q136" s="53"/>
      <c r="R136" s="62"/>
      <c r="S136" s="63"/>
    </row>
    <row r="137" spans="3:120" ht="15" customHeight="1" x14ac:dyDescent="0.2">
      <c r="C137" s="108" t="s">
        <v>101</v>
      </c>
      <c r="D137" s="109"/>
      <c r="E137" s="101"/>
      <c r="F137" s="101"/>
      <c r="G137" s="110"/>
      <c r="H137" s="110"/>
      <c r="I137" s="110"/>
      <c r="J137" s="110"/>
      <c r="K137" s="110"/>
      <c r="L137" s="110"/>
      <c r="M137" s="110"/>
      <c r="N137" s="110"/>
      <c r="O137" s="110"/>
      <c r="P137" s="111"/>
      <c r="Q137" s="111"/>
      <c r="R137" s="112"/>
      <c r="S137" s="113"/>
      <c r="T137" s="97"/>
    </row>
    <row r="138" spans="3:120" x14ac:dyDescent="0.2">
      <c r="C138" s="21"/>
      <c r="D138" s="65" t="s">
        <v>98</v>
      </c>
      <c r="E138" s="21"/>
      <c r="F138" s="21"/>
      <c r="G138" s="22"/>
      <c r="H138" s="22"/>
      <c r="I138" s="22"/>
      <c r="J138" s="22"/>
      <c r="K138" s="22"/>
      <c r="L138" s="22"/>
      <c r="M138" s="22"/>
      <c r="N138" s="22"/>
      <c r="O138" s="22"/>
      <c r="P138" s="66"/>
      <c r="Q138" s="66"/>
      <c r="R138" s="67"/>
      <c r="S138" s="67"/>
    </row>
    <row r="139" spans="3:120" x14ac:dyDescent="0.2">
      <c r="C139" s="21"/>
      <c r="D139" s="95" t="s">
        <v>100</v>
      </c>
      <c r="E139" s="21"/>
      <c r="F139" s="21"/>
      <c r="G139" s="22"/>
      <c r="H139" s="22"/>
      <c r="I139" s="22"/>
      <c r="J139" s="22"/>
      <c r="K139" s="22"/>
      <c r="L139" s="22"/>
      <c r="M139" s="22"/>
      <c r="N139" s="22"/>
      <c r="O139" s="22"/>
      <c r="P139" s="66"/>
      <c r="Q139" s="66"/>
      <c r="R139" s="67"/>
      <c r="S139" s="67"/>
    </row>
    <row r="140" spans="3:120" x14ac:dyDescent="0.2">
      <c r="C140" s="108" t="s">
        <v>101</v>
      </c>
      <c r="D140" s="114"/>
      <c r="E140" s="101"/>
      <c r="F140" s="101"/>
      <c r="G140" s="110"/>
      <c r="H140" s="110"/>
      <c r="I140" s="110"/>
      <c r="J140" s="110"/>
      <c r="K140" s="110"/>
      <c r="L140" s="110"/>
      <c r="M140" s="110"/>
      <c r="N140" s="110"/>
      <c r="O140" s="110"/>
      <c r="P140" s="115"/>
      <c r="Q140" s="115"/>
      <c r="R140" s="116"/>
      <c r="S140" s="116"/>
      <c r="T140" s="97"/>
    </row>
    <row r="141" spans="3:120" x14ac:dyDescent="0.2">
      <c r="C141" s="60" t="s">
        <v>64</v>
      </c>
      <c r="D141" s="19"/>
      <c r="E141" s="21"/>
      <c r="F141" s="21"/>
      <c r="G141" s="22"/>
      <c r="H141" s="22"/>
      <c r="I141" s="22"/>
      <c r="J141" s="22"/>
      <c r="K141" s="22"/>
      <c r="L141" s="22"/>
      <c r="M141" s="22"/>
      <c r="N141" s="22"/>
      <c r="O141" s="22"/>
      <c r="P141" s="66"/>
      <c r="Q141" s="66"/>
      <c r="R141" s="67"/>
      <c r="S141" s="67"/>
    </row>
    <row r="142" spans="3:120" x14ac:dyDescent="0.2">
      <c r="C142" s="64"/>
      <c r="D142" s="19"/>
      <c r="E142" s="21"/>
      <c r="F142" s="21"/>
      <c r="G142" s="22"/>
      <c r="H142" s="22"/>
      <c r="I142" s="22"/>
      <c r="J142" s="22"/>
      <c r="K142" s="22"/>
      <c r="L142" s="22"/>
      <c r="M142" s="22"/>
      <c r="N142" s="22"/>
      <c r="O142" s="22"/>
      <c r="P142" s="66"/>
      <c r="Q142" s="66"/>
      <c r="R142" s="67"/>
      <c r="S142" s="67"/>
    </row>
    <row r="143" spans="3:120" x14ac:dyDescent="0.2">
      <c r="C143" s="60" t="s">
        <v>65</v>
      </c>
      <c r="D143" s="19"/>
      <c r="E143" s="21"/>
      <c r="F143" s="21"/>
      <c r="G143" s="22"/>
      <c r="H143" s="22"/>
      <c r="I143" s="22"/>
      <c r="J143" s="22"/>
      <c r="K143" s="22"/>
      <c r="L143" s="22"/>
      <c r="M143" s="22"/>
      <c r="N143" s="22"/>
      <c r="O143" s="22"/>
      <c r="P143" s="66"/>
      <c r="Q143" s="66"/>
      <c r="R143" s="67"/>
      <c r="S143" s="67"/>
    </row>
    <row r="144" spans="3:120" x14ac:dyDescent="0.2">
      <c r="D144" s="21" t="s">
        <v>66</v>
      </c>
      <c r="E144" s="21"/>
      <c r="F144" s="21"/>
      <c r="G144" s="22"/>
      <c r="H144" s="22"/>
      <c r="I144" s="22"/>
      <c r="J144" s="22"/>
      <c r="K144" s="22"/>
      <c r="L144" s="22"/>
      <c r="M144" s="22"/>
      <c r="N144" s="22"/>
      <c r="O144" s="22"/>
      <c r="P144" s="66"/>
      <c r="Q144" s="66"/>
      <c r="R144" s="67"/>
      <c r="S144" s="67"/>
    </row>
    <row r="145" spans="1:121" x14ac:dyDescent="0.2">
      <c r="D145" s="21" t="s">
        <v>67</v>
      </c>
      <c r="E145" s="21"/>
      <c r="F145" s="21"/>
      <c r="G145" s="22"/>
      <c r="H145" s="22"/>
      <c r="I145" s="22"/>
      <c r="J145" s="22"/>
      <c r="K145" s="22"/>
      <c r="L145" s="22"/>
      <c r="M145" s="22"/>
      <c r="N145" s="22"/>
      <c r="O145" s="22"/>
      <c r="P145" s="66"/>
      <c r="Q145" s="66"/>
      <c r="R145" s="67"/>
      <c r="S145" s="67"/>
    </row>
    <row r="146" spans="1:121" x14ac:dyDescent="0.2">
      <c r="D146" s="21" t="s">
        <v>68</v>
      </c>
      <c r="E146" s="21"/>
      <c r="F146" s="21"/>
      <c r="G146" s="22"/>
      <c r="H146" s="22"/>
      <c r="I146" s="22"/>
      <c r="J146" s="22"/>
      <c r="K146" s="22"/>
      <c r="L146" s="22"/>
      <c r="M146" s="22"/>
      <c r="N146" s="22"/>
      <c r="O146" s="22"/>
      <c r="P146" s="66"/>
      <c r="Q146" s="66"/>
      <c r="R146" s="67"/>
      <c r="S146" s="67"/>
    </row>
    <row r="147" spans="1:121" ht="16.5" customHeight="1" x14ac:dyDescent="0.3">
      <c r="C147" s="21"/>
      <c r="D147" s="19"/>
      <c r="E147" s="21"/>
      <c r="F147" s="21"/>
      <c r="G147" s="22"/>
      <c r="H147" s="22"/>
      <c r="I147" s="22"/>
      <c r="J147" s="22"/>
      <c r="K147" s="22"/>
      <c r="L147" s="22"/>
      <c r="M147" s="22"/>
      <c r="N147" s="22"/>
      <c r="O147" s="22"/>
      <c r="P147" s="66"/>
      <c r="Q147" s="66"/>
      <c r="R147" s="67"/>
      <c r="S147" s="6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row>
    <row r="148" spans="1:121" ht="16.5" x14ac:dyDescent="0.3">
      <c r="C148" s="60" t="s">
        <v>69</v>
      </c>
      <c r="D148" s="19"/>
      <c r="E148" s="21"/>
      <c r="F148" s="21"/>
      <c r="G148" s="22"/>
      <c r="H148" s="22"/>
      <c r="I148" s="22"/>
      <c r="J148" s="22"/>
      <c r="K148" s="22"/>
      <c r="L148" s="22"/>
      <c r="M148" s="22"/>
      <c r="N148" s="22"/>
      <c r="O148" s="22"/>
      <c r="P148" s="66"/>
      <c r="Q148" s="66"/>
      <c r="R148" s="67"/>
      <c r="S148" s="67"/>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row>
    <row r="149" spans="1:121" ht="16.5" x14ac:dyDescent="0.3">
      <c r="D149" s="19"/>
      <c r="E149" s="68">
        <v>104.89</v>
      </c>
      <c r="F149" s="21"/>
      <c r="G149" s="22"/>
      <c r="H149" s="22"/>
      <c r="I149" s="22"/>
      <c r="J149" s="22"/>
      <c r="K149" s="22"/>
      <c r="L149" s="22"/>
      <c r="M149" s="22"/>
      <c r="N149" s="22"/>
      <c r="O149" s="22"/>
      <c r="P149" s="66"/>
      <c r="Q149" s="66"/>
      <c r="R149" s="67"/>
      <c r="S149" s="67"/>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row>
    <row r="150" spans="1:121" s="18" customFormat="1" x14ac:dyDescent="0.2">
      <c r="A150" s="23"/>
      <c r="B150" s="24"/>
      <c r="C150" s="60" t="s">
        <v>96</v>
      </c>
      <c r="D150" s="61"/>
      <c r="E150" s="60"/>
      <c r="F150" s="60"/>
      <c r="G150" s="69"/>
      <c r="H150" s="69"/>
      <c r="I150" s="69"/>
      <c r="J150" s="69"/>
      <c r="K150" s="69"/>
      <c r="L150" s="69"/>
      <c r="M150" s="69"/>
      <c r="N150" s="69"/>
      <c r="O150" s="69"/>
      <c r="P150" s="70"/>
      <c r="Q150" s="70"/>
      <c r="R150" s="71"/>
      <c r="S150" s="71"/>
    </row>
    <row r="151" spans="1:121" s="18" customFormat="1" x14ac:dyDescent="0.2">
      <c r="A151" s="23"/>
      <c r="B151" s="24"/>
      <c r="C151" s="60"/>
      <c r="D151" s="61"/>
      <c r="E151" s="72" t="s">
        <v>97</v>
      </c>
      <c r="F151" s="60"/>
      <c r="G151" s="69"/>
      <c r="H151" s="69"/>
      <c r="I151" s="69"/>
      <c r="J151" s="69"/>
      <c r="K151" s="69"/>
      <c r="L151" s="69"/>
      <c r="M151" s="69"/>
      <c r="N151" s="69"/>
      <c r="O151" s="69"/>
      <c r="P151" s="70"/>
      <c r="Q151" s="70"/>
      <c r="R151" s="71"/>
      <c r="S151" s="71"/>
    </row>
    <row r="152" spans="1:121" s="72" customFormat="1" x14ac:dyDescent="0.2">
      <c r="A152" s="73"/>
      <c r="B152" s="74"/>
      <c r="C152" s="21"/>
      <c r="D152" s="22"/>
      <c r="G152" s="75"/>
      <c r="H152" s="75"/>
      <c r="I152" s="75"/>
      <c r="J152" s="75"/>
      <c r="K152" s="76"/>
      <c r="L152" s="75"/>
      <c r="M152" s="75"/>
      <c r="N152" s="75"/>
      <c r="O152" s="75"/>
      <c r="P152" s="77"/>
      <c r="Q152" s="77"/>
      <c r="R152" s="78"/>
      <c r="S152" s="78"/>
    </row>
    <row r="153" spans="1:121" s="72" customFormat="1" x14ac:dyDescent="0.2">
      <c r="A153" s="73"/>
      <c r="B153" s="74"/>
      <c r="C153" s="79" t="s">
        <v>139</v>
      </c>
      <c r="D153" s="73"/>
      <c r="E153" s="80"/>
      <c r="F153" s="80"/>
      <c r="G153" s="81"/>
      <c r="H153" s="81"/>
      <c r="I153" s="75"/>
      <c r="J153" s="75"/>
      <c r="K153" s="76"/>
      <c r="L153" s="75"/>
      <c r="M153" s="75"/>
      <c r="N153" s="75"/>
      <c r="O153" s="75"/>
      <c r="P153" s="77"/>
      <c r="Q153" s="77"/>
      <c r="R153" s="78"/>
      <c r="S153" s="78"/>
    </row>
    <row r="154" spans="1:121" s="72" customFormat="1" x14ac:dyDescent="0.2">
      <c r="A154" s="73"/>
      <c r="B154" s="74"/>
      <c r="D154" s="73" t="s">
        <v>46</v>
      </c>
      <c r="E154" s="82">
        <v>96700</v>
      </c>
      <c r="F154" s="83"/>
      <c r="G154" s="84"/>
      <c r="H154" s="84"/>
      <c r="I154" s="84"/>
      <c r="J154" s="84"/>
      <c r="K154" s="84"/>
      <c r="L154" s="84"/>
      <c r="M154" s="84"/>
      <c r="N154" s="84"/>
      <c r="O154" s="85" t="s">
        <v>46</v>
      </c>
      <c r="P154" s="72">
        <f t="shared" ref="P154:P162" si="8">E154</f>
        <v>96700</v>
      </c>
      <c r="R154" s="73"/>
      <c r="S154" s="73"/>
    </row>
    <row r="155" spans="1:121" s="72" customFormat="1" x14ac:dyDescent="0.2">
      <c r="A155" s="73"/>
      <c r="B155" s="74"/>
      <c r="D155" s="73" t="s">
        <v>47</v>
      </c>
      <c r="E155" s="83">
        <v>103300</v>
      </c>
      <c r="F155" s="83"/>
      <c r="G155" s="75"/>
      <c r="H155" s="75"/>
      <c r="I155" s="75"/>
      <c r="J155" s="75"/>
      <c r="K155" s="75"/>
      <c r="L155" s="75"/>
      <c r="M155" s="75"/>
      <c r="N155" s="75"/>
      <c r="O155" s="73" t="s">
        <v>47</v>
      </c>
      <c r="P155" s="72">
        <f t="shared" si="8"/>
        <v>103300</v>
      </c>
      <c r="R155" s="73"/>
      <c r="S155" s="73"/>
    </row>
    <row r="156" spans="1:121" s="72" customFormat="1" x14ac:dyDescent="0.2">
      <c r="A156" s="73"/>
      <c r="B156" s="74"/>
      <c r="D156" s="73" t="s">
        <v>48</v>
      </c>
      <c r="E156" s="86">
        <v>75200</v>
      </c>
      <c r="F156" s="83"/>
      <c r="G156" s="75"/>
      <c r="H156" s="75"/>
      <c r="I156" s="75"/>
      <c r="J156" s="75"/>
      <c r="K156" s="75"/>
      <c r="L156" s="75"/>
      <c r="M156" s="75"/>
      <c r="N156" s="75"/>
      <c r="O156" s="73" t="s">
        <v>48</v>
      </c>
      <c r="P156" s="72">
        <f t="shared" si="8"/>
        <v>75200</v>
      </c>
      <c r="R156" s="73"/>
      <c r="S156" s="73"/>
    </row>
    <row r="157" spans="1:121" s="72" customFormat="1" x14ac:dyDescent="0.2">
      <c r="A157" s="73"/>
      <c r="B157" s="74"/>
      <c r="D157" s="73" t="s">
        <v>49</v>
      </c>
      <c r="E157" s="82">
        <v>65500</v>
      </c>
      <c r="F157" s="83"/>
      <c r="G157" s="75"/>
      <c r="H157" s="75"/>
      <c r="I157" s="75"/>
      <c r="J157" s="75"/>
      <c r="K157" s="75"/>
      <c r="L157" s="75"/>
      <c r="M157" s="75"/>
      <c r="N157" s="75"/>
      <c r="O157" s="73" t="s">
        <v>49</v>
      </c>
      <c r="P157" s="72">
        <f t="shared" si="8"/>
        <v>65500</v>
      </c>
      <c r="R157" s="73"/>
      <c r="S157" s="73"/>
    </row>
    <row r="158" spans="1:121" s="72" customFormat="1" x14ac:dyDescent="0.2">
      <c r="A158" s="73"/>
      <c r="B158" s="74"/>
      <c r="D158" s="73" t="s">
        <v>50</v>
      </c>
      <c r="E158" s="82">
        <v>58000</v>
      </c>
      <c r="F158" s="83"/>
      <c r="G158" s="75"/>
      <c r="H158" s="75"/>
      <c r="I158" s="75"/>
      <c r="J158" s="75"/>
      <c r="K158" s="75"/>
      <c r="L158" s="75"/>
      <c r="M158" s="75"/>
      <c r="N158" s="75"/>
      <c r="O158" s="73" t="s">
        <v>50</v>
      </c>
      <c r="P158" s="72">
        <f t="shared" si="8"/>
        <v>58000</v>
      </c>
      <c r="R158" s="73"/>
      <c r="S158" s="73"/>
    </row>
    <row r="159" spans="1:121" s="72" customFormat="1" x14ac:dyDescent="0.2">
      <c r="A159" s="73"/>
      <c r="B159" s="74"/>
      <c r="D159" s="73" t="s">
        <v>95</v>
      </c>
      <c r="E159" s="82">
        <v>49500</v>
      </c>
      <c r="F159" s="83"/>
      <c r="G159" s="75"/>
      <c r="H159" s="75"/>
      <c r="I159" s="75"/>
      <c r="J159" s="75"/>
      <c r="K159" s="75"/>
      <c r="L159" s="75"/>
      <c r="M159" s="75"/>
      <c r="N159" s="75"/>
      <c r="O159" s="73" t="s">
        <v>95</v>
      </c>
      <c r="P159" s="72">
        <f t="shared" si="8"/>
        <v>49500</v>
      </c>
      <c r="R159" s="73"/>
      <c r="S159" s="73"/>
    </row>
    <row r="160" spans="1:121" s="72" customFormat="1" x14ac:dyDescent="0.2">
      <c r="A160" s="73"/>
      <c r="B160" s="74"/>
      <c r="D160" s="73" t="s">
        <v>92</v>
      </c>
      <c r="E160" s="83">
        <v>0</v>
      </c>
      <c r="F160" s="83"/>
      <c r="G160" s="75"/>
      <c r="H160" s="75"/>
      <c r="I160" s="75"/>
      <c r="J160" s="75"/>
      <c r="K160" s="75"/>
      <c r="L160" s="75"/>
      <c r="M160" s="75"/>
      <c r="N160" s="75"/>
      <c r="O160" s="85" t="s">
        <v>92</v>
      </c>
      <c r="P160" s="72">
        <f t="shared" si="8"/>
        <v>0</v>
      </c>
      <c r="R160" s="73"/>
      <c r="S160" s="73"/>
    </row>
    <row r="161" spans="1:255" s="72" customFormat="1" x14ac:dyDescent="0.2">
      <c r="A161" s="73"/>
      <c r="B161" s="74"/>
      <c r="D161" s="73" t="s">
        <v>93</v>
      </c>
      <c r="E161" s="83">
        <v>40500</v>
      </c>
      <c r="F161" s="83"/>
      <c r="G161" s="84"/>
      <c r="H161" s="84"/>
      <c r="I161" s="84"/>
      <c r="J161" s="84"/>
      <c r="K161" s="84"/>
      <c r="L161" s="84"/>
      <c r="M161" s="84"/>
      <c r="N161" s="84"/>
      <c r="O161" s="85" t="s">
        <v>93</v>
      </c>
      <c r="P161" s="72">
        <f t="shared" si="8"/>
        <v>40500</v>
      </c>
      <c r="R161" s="73"/>
      <c r="S161" s="73"/>
    </row>
    <row r="162" spans="1:255" s="72" customFormat="1" x14ac:dyDescent="0.2">
      <c r="A162" s="73"/>
      <c r="B162" s="74"/>
      <c r="D162" s="73" t="s">
        <v>51</v>
      </c>
      <c r="E162" s="86">
        <v>27500</v>
      </c>
      <c r="F162" s="83"/>
      <c r="G162" s="84"/>
      <c r="H162" s="84"/>
      <c r="I162" s="84"/>
      <c r="J162" s="84"/>
      <c r="K162" s="84"/>
      <c r="L162" s="84"/>
      <c r="M162" s="84"/>
      <c r="N162" s="84"/>
      <c r="O162" s="85" t="s">
        <v>51</v>
      </c>
      <c r="P162" s="72">
        <f t="shared" si="8"/>
        <v>27500</v>
      </c>
      <c r="R162" s="73"/>
      <c r="S162" s="73"/>
    </row>
    <row r="163" spans="1:255" s="72" customFormat="1" x14ac:dyDescent="0.2">
      <c r="A163" s="23"/>
      <c r="B163" s="24"/>
      <c r="C163" s="79"/>
      <c r="D163" s="23"/>
      <c r="E163" s="18"/>
      <c r="F163" s="18"/>
      <c r="G163" s="87"/>
      <c r="H163" s="87"/>
      <c r="I163" s="87"/>
      <c r="J163" s="87"/>
      <c r="K163" s="87"/>
      <c r="L163" s="87"/>
      <c r="M163" s="87"/>
      <c r="N163" s="87"/>
      <c r="O163" s="87"/>
      <c r="P163" s="18"/>
      <c r="Q163" s="18"/>
      <c r="R163" s="23"/>
      <c r="S163" s="23"/>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c r="BI163" s="18"/>
      <c r="BJ163" s="18"/>
      <c r="BK163" s="18"/>
      <c r="BL163" s="18"/>
      <c r="BM163" s="18"/>
      <c r="BN163" s="18"/>
      <c r="BO163" s="18"/>
      <c r="BP163" s="18"/>
      <c r="BQ163" s="18"/>
      <c r="BR163" s="18"/>
      <c r="BS163" s="18"/>
      <c r="BT163" s="18"/>
      <c r="BU163" s="18"/>
      <c r="BV163" s="18"/>
      <c r="BW163" s="18"/>
      <c r="BX163" s="18"/>
      <c r="BY163" s="18"/>
      <c r="BZ163" s="18"/>
      <c r="CA163" s="18"/>
      <c r="CB163" s="18"/>
      <c r="CC163" s="18"/>
      <c r="CD163" s="18"/>
      <c r="CE163" s="18"/>
      <c r="CF163" s="18"/>
      <c r="CG163" s="18"/>
      <c r="CH163" s="18"/>
      <c r="CI163" s="18"/>
      <c r="CJ163" s="18"/>
      <c r="CK163" s="18"/>
      <c r="CL163" s="18"/>
      <c r="CM163" s="18"/>
      <c r="CN163" s="18"/>
      <c r="CO163" s="18"/>
      <c r="CP163" s="18"/>
      <c r="CQ163" s="18"/>
      <c r="CR163" s="18"/>
      <c r="CS163" s="18"/>
      <c r="CT163" s="18"/>
      <c r="CU163" s="18"/>
      <c r="CV163" s="18"/>
      <c r="CW163" s="18"/>
      <c r="CX163" s="18"/>
      <c r="CY163" s="18"/>
      <c r="CZ163" s="18"/>
      <c r="DA163" s="18"/>
      <c r="DB163" s="18"/>
      <c r="DC163" s="18"/>
      <c r="DD163" s="18"/>
      <c r="DE163" s="18"/>
      <c r="DF163" s="18"/>
      <c r="DG163" s="18"/>
      <c r="DH163" s="18"/>
      <c r="DI163" s="18"/>
      <c r="DJ163" s="18"/>
      <c r="DK163" s="18"/>
      <c r="DL163" s="18"/>
      <c r="DM163" s="18"/>
      <c r="DN163" s="18"/>
      <c r="DO163" s="18"/>
      <c r="DP163" s="18"/>
      <c r="DQ163" s="18"/>
      <c r="DR163" s="18"/>
      <c r="DS163" s="18"/>
      <c r="DT163" s="18"/>
      <c r="DU163" s="18"/>
      <c r="DV163" s="18"/>
      <c r="DW163" s="18"/>
      <c r="DX163" s="18"/>
      <c r="DY163" s="18"/>
      <c r="DZ163" s="18"/>
      <c r="EA163" s="18"/>
      <c r="EB163" s="18"/>
      <c r="EC163" s="18"/>
      <c r="ED163" s="18"/>
      <c r="EE163" s="18"/>
      <c r="EF163" s="18"/>
      <c r="EG163" s="18"/>
      <c r="EH163" s="18"/>
      <c r="EI163" s="18"/>
      <c r="EJ163" s="18"/>
      <c r="EK163" s="18"/>
      <c r="EL163" s="18"/>
      <c r="EM163" s="18"/>
      <c r="EN163" s="18"/>
      <c r="EO163" s="18"/>
      <c r="EP163" s="18"/>
      <c r="EQ163" s="18"/>
      <c r="ER163" s="18"/>
      <c r="ES163" s="18"/>
      <c r="ET163" s="18"/>
      <c r="EU163" s="18"/>
      <c r="EV163" s="18"/>
      <c r="EW163" s="18"/>
      <c r="EX163" s="18"/>
      <c r="EY163" s="18"/>
      <c r="EZ163" s="18"/>
      <c r="FA163" s="18"/>
      <c r="FB163" s="18"/>
      <c r="FC163" s="18"/>
      <c r="FD163" s="18"/>
      <c r="FE163" s="18"/>
      <c r="FF163" s="18"/>
      <c r="FG163" s="18"/>
      <c r="FH163" s="18"/>
      <c r="FI163" s="18"/>
      <c r="FJ163" s="18"/>
      <c r="FK163" s="18"/>
      <c r="FL163" s="18"/>
      <c r="FM163" s="18"/>
      <c r="FN163" s="18"/>
      <c r="FO163" s="18"/>
      <c r="FP163" s="18"/>
      <c r="FQ163" s="18"/>
      <c r="FR163" s="18"/>
      <c r="FS163" s="18"/>
      <c r="FT163" s="18"/>
      <c r="FU163" s="18"/>
      <c r="FV163" s="18"/>
      <c r="FW163" s="18"/>
      <c r="FX163" s="18"/>
      <c r="FY163" s="18"/>
      <c r="FZ163" s="18"/>
      <c r="GA163" s="18"/>
      <c r="GB163" s="18"/>
      <c r="GC163" s="18"/>
      <c r="GD163" s="18"/>
      <c r="GE163" s="18"/>
      <c r="GF163" s="18"/>
      <c r="GG163" s="18"/>
      <c r="GH163" s="18"/>
      <c r="GI163" s="18"/>
      <c r="GJ163" s="18"/>
      <c r="GK163" s="18"/>
      <c r="GL163" s="18"/>
      <c r="GM163" s="18"/>
      <c r="GN163" s="18"/>
      <c r="GO163" s="18"/>
      <c r="GP163" s="18"/>
      <c r="GQ163" s="18"/>
      <c r="GR163" s="18"/>
      <c r="GS163" s="18"/>
      <c r="GT163" s="18"/>
      <c r="GU163" s="18"/>
      <c r="GV163" s="18"/>
      <c r="GW163" s="18"/>
      <c r="GX163" s="18"/>
      <c r="GY163" s="18"/>
      <c r="GZ163" s="18"/>
      <c r="HA163" s="18"/>
      <c r="HB163" s="18"/>
      <c r="HC163" s="18"/>
      <c r="HD163" s="18"/>
      <c r="HE163" s="18"/>
      <c r="HF163" s="18"/>
      <c r="HG163" s="18"/>
      <c r="HH163" s="18"/>
      <c r="HI163" s="18"/>
      <c r="HJ163" s="18"/>
      <c r="HK163" s="18"/>
      <c r="HL163" s="18"/>
      <c r="HM163" s="18"/>
      <c r="HN163" s="18"/>
      <c r="HO163" s="18"/>
      <c r="HP163" s="18"/>
      <c r="HQ163" s="18"/>
      <c r="HR163" s="18"/>
      <c r="HS163" s="18"/>
      <c r="HT163" s="18"/>
      <c r="HU163" s="18"/>
      <c r="HV163" s="18"/>
      <c r="HW163" s="18"/>
      <c r="HX163" s="18"/>
      <c r="HY163" s="18"/>
      <c r="HZ163" s="18"/>
      <c r="IA163" s="18"/>
      <c r="IB163" s="18"/>
      <c r="IC163" s="18"/>
      <c r="ID163" s="18"/>
      <c r="IE163" s="18"/>
      <c r="IF163" s="18"/>
      <c r="IG163" s="18"/>
      <c r="IH163" s="18"/>
      <c r="II163" s="18"/>
      <c r="IJ163" s="18"/>
      <c r="IK163" s="18"/>
      <c r="IL163" s="18"/>
      <c r="IM163" s="18"/>
      <c r="IN163" s="18"/>
      <c r="IO163" s="18"/>
      <c r="IP163" s="18"/>
      <c r="IQ163" s="18"/>
      <c r="IR163" s="18"/>
      <c r="IS163" s="18"/>
      <c r="IT163" s="18"/>
      <c r="IU163" s="18"/>
    </row>
    <row r="164" spans="1:255" s="18" customFormat="1" x14ac:dyDescent="0.2">
      <c r="A164" s="15"/>
      <c r="B164" s="16"/>
      <c r="C164" s="2"/>
      <c r="D164" s="15"/>
      <c r="E164" s="2"/>
      <c r="F164" s="2"/>
      <c r="G164" s="17"/>
      <c r="H164" s="17"/>
      <c r="I164" s="17"/>
      <c r="J164" s="17"/>
      <c r="K164" s="17"/>
      <c r="L164" s="17"/>
      <c r="M164" s="17"/>
      <c r="N164" s="17"/>
      <c r="O164" s="17"/>
      <c r="P164" s="2"/>
      <c r="Q164" s="2"/>
      <c r="R164" s="15"/>
      <c r="S164" s="15"/>
      <c r="T164" s="2"/>
      <c r="U164" s="2"/>
      <c r="V164" s="2"/>
      <c r="W164" s="2"/>
      <c r="X164" s="124"/>
      <c r="Y164" s="124"/>
      <c r="Z164" s="124"/>
      <c r="AA164" s="124"/>
      <c r="AB164" s="124"/>
      <c r="AC164" s="124"/>
      <c r="AD164" s="124"/>
      <c r="AE164" s="124"/>
      <c r="AF164" s="124"/>
      <c r="AG164" s="124"/>
      <c r="AH164" s="124"/>
      <c r="AI164" s="124"/>
      <c r="AJ164" s="124"/>
      <c r="AK164" s="124"/>
      <c r="AL164" s="124"/>
      <c r="AM164" s="124"/>
      <c r="AN164" s="124"/>
      <c r="AO164" s="124"/>
      <c r="AP164" s="124"/>
      <c r="AQ164" s="124"/>
      <c r="AR164" s="124"/>
      <c r="AS164" s="124"/>
      <c r="AT164" s="124"/>
      <c r="AU164" s="124"/>
      <c r="AV164" s="124"/>
      <c r="AW164" s="124"/>
      <c r="AX164" s="124"/>
      <c r="AY164" s="124"/>
      <c r="AZ164" s="124"/>
      <c r="BA164" s="124"/>
      <c r="BB164" s="124"/>
      <c r="BC164" s="124"/>
      <c r="BD164" s="124"/>
      <c r="BE164" s="124"/>
      <c r="BF164" s="124"/>
      <c r="BG164" s="124"/>
      <c r="BH164" s="124"/>
      <c r="BI164" s="124"/>
      <c r="BJ164" s="124"/>
      <c r="BK164" s="124"/>
      <c r="BL164" s="124"/>
      <c r="BM164" s="124"/>
      <c r="BN164" s="124"/>
      <c r="BO164" s="124"/>
      <c r="BP164" s="124"/>
      <c r="BQ164" s="124"/>
      <c r="BR164" s="124"/>
      <c r="BS164" s="124"/>
      <c r="BT164" s="124"/>
      <c r="BU164" s="124"/>
      <c r="BV164" s="124"/>
      <c r="BW164" s="124"/>
      <c r="BX164" s="124"/>
      <c r="BY164" s="124"/>
      <c r="BZ164" s="124"/>
      <c r="CA164" s="124"/>
      <c r="CB164" s="124"/>
      <c r="CC164" s="124"/>
      <c r="CD164" s="124"/>
      <c r="CE164" s="124"/>
      <c r="CF164" s="124"/>
      <c r="CG164" s="124"/>
      <c r="CH164" s="124"/>
      <c r="CI164" s="124"/>
      <c r="CJ164" s="124"/>
      <c r="CK164" s="124"/>
      <c r="CL164" s="124"/>
      <c r="CM164" s="124"/>
      <c r="CN164" s="124"/>
      <c r="CO164" s="124"/>
      <c r="CP164" s="124"/>
      <c r="CQ164" s="124"/>
      <c r="CR164" s="124"/>
      <c r="CS164" s="124"/>
      <c r="CT164" s="124"/>
      <c r="CU164" s="124"/>
      <c r="CV164" s="124"/>
      <c r="CW164" s="124"/>
      <c r="CX164" s="124"/>
      <c r="CY164" s="124"/>
      <c r="CZ164" s="124"/>
      <c r="DA164" s="124"/>
      <c r="DB164" s="124"/>
      <c r="DC164" s="124"/>
      <c r="DD164" s="124"/>
      <c r="DE164" s="124"/>
      <c r="DF164" s="124"/>
      <c r="DG164" s="124"/>
      <c r="DH164" s="124"/>
      <c r="DI164" s="124"/>
      <c r="DJ164" s="124"/>
      <c r="DK164" s="124"/>
      <c r="DL164" s="124"/>
      <c r="DM164" s="124"/>
      <c r="DN164" s="124"/>
      <c r="DO164" s="124"/>
      <c r="DP164" s="2"/>
      <c r="DQ164" s="2"/>
      <c r="DR164" s="2"/>
      <c r="DS164" s="2"/>
      <c r="DT164" s="2"/>
      <c r="DU164" s="2"/>
      <c r="DV164" s="2"/>
      <c r="DW164" s="2"/>
      <c r="DX164" s="2"/>
      <c r="DY164" s="2"/>
      <c r="DZ164" s="2"/>
      <c r="EA164" s="2"/>
      <c r="EB164" s="2"/>
      <c r="EC164" s="2"/>
      <c r="ED164" s="2"/>
      <c r="EE164" s="2"/>
      <c r="EF164" s="2"/>
      <c r="EG164" s="2"/>
      <c r="EH164" s="2"/>
      <c r="EI164" s="2"/>
      <c r="EJ164" s="2"/>
      <c r="EK164" s="2"/>
      <c r="EL164" s="2"/>
      <c r="EM164" s="2"/>
      <c r="EN164" s="2"/>
      <c r="EO164" s="2"/>
      <c r="EP164" s="2"/>
      <c r="EQ164" s="2"/>
      <c r="ER164" s="2"/>
      <c r="ES164" s="2"/>
      <c r="ET164" s="2"/>
      <c r="EU164" s="2"/>
      <c r="EV164" s="2"/>
      <c r="EW164" s="2"/>
      <c r="EX164" s="2"/>
      <c r="EY164" s="2"/>
      <c r="EZ164" s="2"/>
      <c r="FA164" s="2"/>
      <c r="FB164" s="2"/>
      <c r="FC164" s="2"/>
      <c r="FD164" s="2"/>
      <c r="FE164" s="2"/>
      <c r="FF164" s="2"/>
      <c r="FG164" s="2"/>
      <c r="FH164" s="2"/>
      <c r="FI164" s="2"/>
      <c r="FJ164" s="2"/>
      <c r="FK164" s="2"/>
      <c r="FL164" s="2"/>
      <c r="FM164" s="2"/>
      <c r="FN164" s="2"/>
      <c r="FO164" s="2"/>
      <c r="FP164" s="2"/>
      <c r="FQ164" s="2"/>
      <c r="FR164" s="2"/>
      <c r="FS164" s="2"/>
      <c r="FT164" s="2"/>
      <c r="FU164" s="2"/>
      <c r="FV164" s="2"/>
      <c r="FW164" s="2"/>
      <c r="FX164" s="2"/>
      <c r="FY164" s="2"/>
      <c r="FZ164" s="2"/>
      <c r="GA164" s="2"/>
      <c r="GB164" s="2"/>
      <c r="GC164" s="2"/>
      <c r="GD164" s="2"/>
      <c r="GE164" s="2"/>
      <c r="GF164" s="2"/>
      <c r="GG164" s="2"/>
      <c r="GH164" s="2"/>
      <c r="GI164" s="2"/>
      <c r="GJ164" s="2"/>
      <c r="GK164" s="2"/>
      <c r="GL164" s="2"/>
      <c r="GM164" s="2"/>
      <c r="GN164" s="2"/>
      <c r="GO164" s="2"/>
      <c r="GP164" s="2"/>
      <c r="GQ164" s="2"/>
      <c r="GR164" s="2"/>
      <c r="GS164" s="2"/>
      <c r="GT164" s="2"/>
      <c r="GU164" s="2"/>
      <c r="GV164" s="2"/>
      <c r="GW164" s="2"/>
      <c r="GX164" s="2"/>
      <c r="GY164" s="2"/>
      <c r="GZ164" s="2"/>
      <c r="HA164" s="2"/>
      <c r="HB164" s="2"/>
      <c r="HC164" s="2"/>
      <c r="HD164" s="2"/>
      <c r="HE164" s="2"/>
      <c r="HF164" s="2"/>
      <c r="HG164" s="2"/>
      <c r="HH164" s="2"/>
      <c r="HI164" s="2"/>
      <c r="HJ164" s="2"/>
      <c r="HK164" s="2"/>
      <c r="HL164" s="2"/>
      <c r="HM164" s="2"/>
      <c r="HN164" s="2"/>
      <c r="HO164" s="2"/>
      <c r="HP164" s="2"/>
      <c r="HQ164" s="2"/>
      <c r="HR164" s="2"/>
      <c r="HS164" s="2"/>
      <c r="HT164" s="2"/>
      <c r="HU164" s="2"/>
      <c r="HV164" s="2"/>
      <c r="HW164" s="2"/>
      <c r="HX164" s="2"/>
      <c r="HY164" s="2"/>
      <c r="HZ164" s="2"/>
      <c r="IA164" s="2"/>
      <c r="IB164" s="2"/>
      <c r="IC164" s="2"/>
      <c r="ID164" s="2"/>
      <c r="IE164" s="2"/>
      <c r="IF164" s="2"/>
      <c r="IG164" s="2"/>
      <c r="IH164" s="2"/>
      <c r="II164" s="2"/>
      <c r="IJ164" s="2"/>
      <c r="IK164" s="2"/>
      <c r="IL164" s="2"/>
      <c r="IM164" s="2"/>
      <c r="IN164" s="2"/>
      <c r="IO164" s="2"/>
      <c r="IP164" s="2"/>
      <c r="IQ164" s="2"/>
      <c r="IR164" s="2"/>
      <c r="IS164" s="2"/>
      <c r="IT164" s="2"/>
      <c r="IU164" s="2"/>
    </row>
    <row r="166" spans="1:255" x14ac:dyDescent="0.2">
      <c r="C166" s="18" t="s">
        <v>70</v>
      </c>
      <c r="G166" s="88"/>
      <c r="H166" s="88"/>
      <c r="I166" s="88"/>
      <c r="J166" s="88"/>
      <c r="K166" s="88"/>
      <c r="L166" s="88"/>
      <c r="M166" s="88"/>
      <c r="N166" s="88"/>
      <c r="O166" s="88"/>
      <c r="P166" s="89"/>
      <c r="Q166" s="89"/>
      <c r="R166" s="89"/>
      <c r="S166" s="89"/>
    </row>
    <row r="167" spans="1:255" x14ac:dyDescent="0.2">
      <c r="D167" s="15" t="s">
        <v>45</v>
      </c>
      <c r="G167" s="38" t="s">
        <v>46</v>
      </c>
      <c r="H167" s="38" t="s">
        <v>47</v>
      </c>
      <c r="I167" s="38" t="s">
        <v>48</v>
      </c>
      <c r="J167" s="38" t="s">
        <v>49</v>
      </c>
      <c r="K167" s="38" t="s">
        <v>50</v>
      </c>
      <c r="L167" s="38" t="s">
        <v>95</v>
      </c>
      <c r="M167" s="38" t="s">
        <v>92</v>
      </c>
      <c r="N167" s="38" t="s">
        <v>93</v>
      </c>
      <c r="O167" s="38" t="s">
        <v>51</v>
      </c>
      <c r="P167" s="38" t="s">
        <v>59</v>
      </c>
      <c r="Q167" s="89"/>
      <c r="R167" s="89"/>
      <c r="S167" s="89"/>
      <c r="T167" s="89"/>
    </row>
    <row r="168" spans="1:255" x14ac:dyDescent="0.2">
      <c r="P168" s="17"/>
      <c r="R168" s="2"/>
      <c r="T168" s="15"/>
    </row>
    <row r="169" spans="1:255" x14ac:dyDescent="0.2">
      <c r="D169" s="15" t="str">
        <f>"1. "</f>
        <v xml:space="preserve">1. </v>
      </c>
      <c r="E169" s="2" t="s">
        <v>54</v>
      </c>
      <c r="G169" s="94">
        <f t="shared" ref="G169:O169" si="9">G112*VLOOKUP(G$110,Salary,2,FALSE)/52*1</f>
        <v>1859.6153846153845</v>
      </c>
      <c r="H169" s="94">
        <f t="shared" si="9"/>
        <v>0</v>
      </c>
      <c r="I169" s="94">
        <f t="shared" si="9"/>
        <v>0</v>
      </c>
      <c r="J169" s="94">
        <f t="shared" si="9"/>
        <v>0</v>
      </c>
      <c r="K169" s="94">
        <f t="shared" si="9"/>
        <v>0</v>
      </c>
      <c r="L169" s="94">
        <f t="shared" si="9"/>
        <v>0</v>
      </c>
      <c r="M169" s="94">
        <f t="shared" si="9"/>
        <v>0</v>
      </c>
      <c r="N169" s="94">
        <f t="shared" si="9"/>
        <v>0</v>
      </c>
      <c r="O169" s="94">
        <f t="shared" si="9"/>
        <v>0</v>
      </c>
      <c r="P169" s="94">
        <f t="shared" ref="P169:P178" si="10">SUM(G169:O169)</f>
        <v>1859.6153846153845</v>
      </c>
      <c r="R169" s="2"/>
      <c r="T169" s="15"/>
    </row>
    <row r="170" spans="1:255" x14ac:dyDescent="0.2">
      <c r="D170" s="15" t="str">
        <f>"2. "</f>
        <v xml:space="preserve">2. </v>
      </c>
      <c r="E170" s="2" t="s">
        <v>71</v>
      </c>
      <c r="G170" s="94">
        <f t="shared" ref="G170:O170" si="11">G113*VLOOKUP(G$110,Salary,2,FALSE)/52*1</f>
        <v>0</v>
      </c>
      <c r="H170" s="94">
        <f t="shared" si="11"/>
        <v>3973.0769230769229</v>
      </c>
      <c r="I170" s="94">
        <f t="shared" si="11"/>
        <v>0</v>
      </c>
      <c r="J170" s="94">
        <f t="shared" si="11"/>
        <v>0</v>
      </c>
      <c r="K170" s="94">
        <f t="shared" si="11"/>
        <v>0</v>
      </c>
      <c r="L170" s="94">
        <f t="shared" si="11"/>
        <v>0</v>
      </c>
      <c r="M170" s="94">
        <f t="shared" si="11"/>
        <v>0</v>
      </c>
      <c r="N170" s="94">
        <f t="shared" si="11"/>
        <v>0</v>
      </c>
      <c r="O170" s="94">
        <f t="shared" si="11"/>
        <v>0</v>
      </c>
      <c r="P170" s="94">
        <f t="shared" si="10"/>
        <v>3973.0769230769229</v>
      </c>
      <c r="R170" s="2"/>
      <c r="T170" s="15"/>
    </row>
    <row r="171" spans="1:255" x14ac:dyDescent="0.2">
      <c r="D171" s="15" t="str">
        <f>"3. "</f>
        <v xml:space="preserve">3. </v>
      </c>
      <c r="E171" s="2" t="s">
        <v>72</v>
      </c>
      <c r="G171" s="94">
        <f t="shared" ref="G171:O171" si="12">G114*VLOOKUP(G$110,Salary,2,FALSE)/52*1</f>
        <v>0</v>
      </c>
      <c r="H171" s="94">
        <f t="shared" si="12"/>
        <v>0</v>
      </c>
      <c r="I171" s="94">
        <f t="shared" si="12"/>
        <v>4338.4615384615381</v>
      </c>
      <c r="J171" s="94">
        <f t="shared" si="12"/>
        <v>0</v>
      </c>
      <c r="K171" s="94">
        <f t="shared" si="12"/>
        <v>0</v>
      </c>
      <c r="L171" s="94">
        <f t="shared" si="12"/>
        <v>0</v>
      </c>
      <c r="M171" s="94">
        <f t="shared" si="12"/>
        <v>0</v>
      </c>
      <c r="N171" s="94">
        <f t="shared" si="12"/>
        <v>0</v>
      </c>
      <c r="O171" s="94">
        <f t="shared" si="12"/>
        <v>0</v>
      </c>
      <c r="P171" s="94">
        <f t="shared" si="10"/>
        <v>4338.4615384615381</v>
      </c>
      <c r="R171" s="2"/>
      <c r="T171" s="15"/>
    </row>
    <row r="172" spans="1:255" x14ac:dyDescent="0.2">
      <c r="D172" s="15" t="str">
        <f>"4. "</f>
        <v xml:space="preserve">4. </v>
      </c>
      <c r="E172" s="2" t="s">
        <v>56</v>
      </c>
      <c r="G172" s="94">
        <f t="shared" ref="G172:O172" si="13">G115*VLOOKUP(G$110,Salary,2,FALSE)/52*1</f>
        <v>0</v>
      </c>
      <c r="H172" s="94">
        <f t="shared" si="13"/>
        <v>0</v>
      </c>
      <c r="I172" s="94">
        <f t="shared" si="13"/>
        <v>0</v>
      </c>
      <c r="J172" s="94">
        <f t="shared" si="13"/>
        <v>5038.4615384615381</v>
      </c>
      <c r="K172" s="94">
        <f t="shared" si="13"/>
        <v>0</v>
      </c>
      <c r="L172" s="94">
        <f t="shared" si="13"/>
        <v>0</v>
      </c>
      <c r="M172" s="94">
        <f t="shared" si="13"/>
        <v>0</v>
      </c>
      <c r="N172" s="94">
        <f t="shared" si="13"/>
        <v>0</v>
      </c>
      <c r="O172" s="94">
        <f t="shared" si="13"/>
        <v>0</v>
      </c>
      <c r="P172" s="94">
        <f t="shared" si="10"/>
        <v>5038.4615384615381</v>
      </c>
      <c r="R172" s="2"/>
      <c r="T172" s="15"/>
    </row>
    <row r="173" spans="1:255" x14ac:dyDescent="0.2">
      <c r="D173" s="15" t="str">
        <f>"5. "</f>
        <v xml:space="preserve">5. </v>
      </c>
      <c r="E173" s="2" t="s">
        <v>56</v>
      </c>
      <c r="G173" s="94">
        <f t="shared" ref="G173:O173" si="14">G116*VLOOKUP(G$110,Salary,2,FALSE)/52*1</f>
        <v>0</v>
      </c>
      <c r="H173" s="94">
        <f t="shared" si="14"/>
        <v>0</v>
      </c>
      <c r="I173" s="94">
        <f t="shared" si="14"/>
        <v>0</v>
      </c>
      <c r="J173" s="94">
        <f t="shared" si="14"/>
        <v>0</v>
      </c>
      <c r="K173" s="94">
        <f t="shared" si="14"/>
        <v>0</v>
      </c>
      <c r="L173" s="94">
        <f t="shared" si="14"/>
        <v>4759.6153846153848</v>
      </c>
      <c r="M173" s="94">
        <f t="shared" si="14"/>
        <v>0</v>
      </c>
      <c r="N173" s="94">
        <f t="shared" si="14"/>
        <v>0</v>
      </c>
      <c r="O173" s="94">
        <f t="shared" si="14"/>
        <v>0</v>
      </c>
      <c r="P173" s="94">
        <f t="shared" si="10"/>
        <v>4759.6153846153848</v>
      </c>
      <c r="R173" s="2"/>
      <c r="T173" s="15"/>
    </row>
    <row r="174" spans="1:255" x14ac:dyDescent="0.2">
      <c r="D174" s="15" t="str">
        <f>"6. "</f>
        <v xml:space="preserve">6. </v>
      </c>
      <c r="E174" s="2" t="s">
        <v>56</v>
      </c>
      <c r="G174" s="94">
        <f t="shared" ref="G174:O174" si="15">G117*VLOOKUP(G$110,Salary,2,FALSE)/52*1</f>
        <v>0</v>
      </c>
      <c r="H174" s="94">
        <f t="shared" si="15"/>
        <v>0</v>
      </c>
      <c r="I174" s="94">
        <f t="shared" si="15"/>
        <v>0</v>
      </c>
      <c r="J174" s="94">
        <f t="shared" si="15"/>
        <v>0</v>
      </c>
      <c r="K174" s="94">
        <f t="shared" si="15"/>
        <v>0</v>
      </c>
      <c r="L174" s="94">
        <f t="shared" si="15"/>
        <v>0</v>
      </c>
      <c r="M174" s="94">
        <f t="shared" si="15"/>
        <v>0</v>
      </c>
      <c r="N174" s="94">
        <f t="shared" si="15"/>
        <v>0</v>
      </c>
      <c r="O174" s="94">
        <f t="shared" si="15"/>
        <v>3173.0769230769229</v>
      </c>
      <c r="P174" s="94">
        <f t="shared" si="10"/>
        <v>3173.0769230769229</v>
      </c>
      <c r="R174" s="2"/>
      <c r="T174" s="15"/>
    </row>
    <row r="175" spans="1:255" x14ac:dyDescent="0.2">
      <c r="D175" s="15" t="str">
        <f>"7. "</f>
        <v xml:space="preserve">7. </v>
      </c>
      <c r="E175" s="2" t="s">
        <v>56</v>
      </c>
      <c r="G175" s="94">
        <f t="shared" ref="G175:O175" si="16">G118*VLOOKUP(G$110,Salary,2,FALSE)/52*1</f>
        <v>0</v>
      </c>
      <c r="H175" s="94">
        <f t="shared" si="16"/>
        <v>0</v>
      </c>
      <c r="I175" s="94">
        <f t="shared" si="16"/>
        <v>0</v>
      </c>
      <c r="J175" s="94">
        <f t="shared" si="16"/>
        <v>0</v>
      </c>
      <c r="K175" s="94">
        <f t="shared" si="16"/>
        <v>0</v>
      </c>
      <c r="L175" s="94">
        <f t="shared" si="16"/>
        <v>6663.4615384615381</v>
      </c>
      <c r="M175" s="94">
        <f t="shared" si="16"/>
        <v>0</v>
      </c>
      <c r="N175" s="94">
        <f t="shared" si="16"/>
        <v>0</v>
      </c>
      <c r="O175" s="94">
        <f t="shared" si="16"/>
        <v>0</v>
      </c>
      <c r="P175" s="94">
        <f t="shared" si="10"/>
        <v>6663.4615384615381</v>
      </c>
      <c r="R175" s="2"/>
      <c r="T175" s="15"/>
    </row>
    <row r="176" spans="1:255" x14ac:dyDescent="0.2">
      <c r="D176" s="15" t="str">
        <f>"8. "</f>
        <v xml:space="preserve">8. </v>
      </c>
      <c r="E176" s="2" t="s">
        <v>56</v>
      </c>
      <c r="G176" s="94">
        <f t="shared" ref="G176:O176" si="17">G119*VLOOKUP(G$110,Salary,2,FALSE)/52*1</f>
        <v>0</v>
      </c>
      <c r="H176" s="94">
        <f t="shared" si="17"/>
        <v>0</v>
      </c>
      <c r="I176" s="94">
        <f t="shared" si="17"/>
        <v>0</v>
      </c>
      <c r="J176" s="94">
        <f t="shared" si="17"/>
        <v>10076.923076923076</v>
      </c>
      <c r="K176" s="94">
        <f t="shared" si="17"/>
        <v>0</v>
      </c>
      <c r="L176" s="94">
        <f t="shared" si="17"/>
        <v>0</v>
      </c>
      <c r="M176" s="94">
        <f t="shared" si="17"/>
        <v>0</v>
      </c>
      <c r="N176" s="94">
        <f t="shared" si="17"/>
        <v>0</v>
      </c>
      <c r="O176" s="94">
        <f t="shared" si="17"/>
        <v>0</v>
      </c>
      <c r="P176" s="94">
        <f t="shared" si="10"/>
        <v>10076.923076923076</v>
      </c>
      <c r="R176" s="2"/>
      <c r="T176" s="15"/>
    </row>
    <row r="177" spans="4:20" x14ac:dyDescent="0.2">
      <c r="D177" s="15" t="str">
        <f>"9. "</f>
        <v xml:space="preserve">9. </v>
      </c>
      <c r="E177" s="2" t="s">
        <v>56</v>
      </c>
      <c r="G177" s="94">
        <f t="shared" ref="G177:O177" si="18">G120*VLOOKUP(G$110,Salary,2,FALSE)/52*1</f>
        <v>0</v>
      </c>
      <c r="H177" s="94">
        <f t="shared" si="18"/>
        <v>0</v>
      </c>
      <c r="I177" s="94">
        <f t="shared" si="18"/>
        <v>13015.384615384615</v>
      </c>
      <c r="J177" s="94">
        <f t="shared" si="18"/>
        <v>0</v>
      </c>
      <c r="K177" s="94">
        <f t="shared" si="18"/>
        <v>0</v>
      </c>
      <c r="L177" s="94">
        <f t="shared" si="18"/>
        <v>0</v>
      </c>
      <c r="M177" s="94">
        <f t="shared" si="18"/>
        <v>0</v>
      </c>
      <c r="N177" s="94">
        <f t="shared" si="18"/>
        <v>0</v>
      </c>
      <c r="O177" s="94">
        <f t="shared" si="18"/>
        <v>0</v>
      </c>
      <c r="P177" s="94">
        <f t="shared" si="10"/>
        <v>13015.384615384615</v>
      </c>
      <c r="R177" s="2"/>
      <c r="T177" s="15"/>
    </row>
    <row r="178" spans="4:20" x14ac:dyDescent="0.2">
      <c r="D178" s="15" t="str">
        <f>"10. "</f>
        <v xml:space="preserve">10. </v>
      </c>
      <c r="E178" s="2" t="s">
        <v>56</v>
      </c>
      <c r="G178" s="94">
        <f t="shared" ref="G178:O178" si="19">G121*VLOOKUP(G$110,Salary,2,FALSE)/52*1</f>
        <v>0</v>
      </c>
      <c r="H178" s="94">
        <f t="shared" si="19"/>
        <v>19865.384615384617</v>
      </c>
      <c r="I178" s="94">
        <f t="shared" si="19"/>
        <v>0</v>
      </c>
      <c r="J178" s="94">
        <f t="shared" si="19"/>
        <v>0</v>
      </c>
      <c r="K178" s="94">
        <f t="shared" si="19"/>
        <v>0</v>
      </c>
      <c r="L178" s="94">
        <f t="shared" si="19"/>
        <v>0</v>
      </c>
      <c r="M178" s="94">
        <f t="shared" si="19"/>
        <v>0</v>
      </c>
      <c r="N178" s="94">
        <f t="shared" si="19"/>
        <v>0</v>
      </c>
      <c r="O178" s="94">
        <f t="shared" si="19"/>
        <v>0</v>
      </c>
      <c r="P178" s="94">
        <f t="shared" si="10"/>
        <v>19865.384615384617</v>
      </c>
      <c r="R178" s="2"/>
      <c r="T178" s="15"/>
    </row>
    <row r="182" spans="4:20" x14ac:dyDescent="0.2">
      <c r="I182" s="94"/>
    </row>
  </sheetData>
  <mergeCells count="39">
    <mergeCell ref="X109:DO109"/>
    <mergeCell ref="CZ110:DC110"/>
    <mergeCell ref="DD110:DG110"/>
    <mergeCell ref="DH110:DK110"/>
    <mergeCell ref="DL110:DO110"/>
    <mergeCell ref="CF110:CI110"/>
    <mergeCell ref="CJ110:CM110"/>
    <mergeCell ref="CN110:CQ110"/>
    <mergeCell ref="CR110:CU110"/>
    <mergeCell ref="CV110:CY110"/>
    <mergeCell ref="BT110:BW110"/>
    <mergeCell ref="BX110:CA110"/>
    <mergeCell ref="CB110:CE110"/>
    <mergeCell ref="X110:AA110"/>
    <mergeCell ref="AB110:AE110"/>
    <mergeCell ref="AF110:AI110"/>
    <mergeCell ref="C109:E110"/>
    <mergeCell ref="U109:W110"/>
    <mergeCell ref="V122:W122"/>
    <mergeCell ref="V111:W111"/>
    <mergeCell ref="V115:W115"/>
    <mergeCell ref="V116:W116"/>
    <mergeCell ref="V117:W117"/>
    <mergeCell ref="V118:W118"/>
    <mergeCell ref="V119:W119"/>
    <mergeCell ref="V112:W112"/>
    <mergeCell ref="V113:W113"/>
    <mergeCell ref="V114:W114"/>
    <mergeCell ref="V120:W120"/>
    <mergeCell ref="V121:W121"/>
    <mergeCell ref="BD110:BG110"/>
    <mergeCell ref="BH110:BK110"/>
    <mergeCell ref="BL110:BO110"/>
    <mergeCell ref="BP110:BS110"/>
    <mergeCell ref="AJ110:AM110"/>
    <mergeCell ref="AN110:AQ110"/>
    <mergeCell ref="AR110:AU110"/>
    <mergeCell ref="AV110:AY110"/>
    <mergeCell ref="AZ110:BC110"/>
  </mergeCells>
  <phoneticPr fontId="0" type="noConversion"/>
  <printOptions horizontalCentered="1" verticalCentered="1"/>
  <pageMargins left="0.25" right="0.25" top="0.75" bottom="0.75" header="0.3" footer="0.3"/>
  <pageSetup orientation="landscape" r:id="rId1"/>
  <headerFooter alignWithMargins="0"/>
  <colBreaks count="2" manualBreakCount="2">
    <brk id="20" max="1048575" man="1"/>
    <brk id="120" max="1048575" man="1"/>
  </colBreaks>
  <drawing r:id="rId2"/>
  <legacyDrawing r:id="rId3"/>
  <controls>
    <mc:AlternateContent xmlns:mc="http://schemas.openxmlformats.org/markup-compatibility/2006">
      <mc:Choice Requires="x14">
        <control shapeId="1027" r:id="rId4" name="CommandButton1">
          <controlPr autoLine="0" r:id="rId5">
            <anchor moveWithCells="1">
              <from>
                <xdr:col>20</xdr:col>
                <xdr:colOff>95250</xdr:colOff>
                <xdr:row>99</xdr:row>
                <xdr:rowOff>0</xdr:rowOff>
              </from>
              <to>
                <xdr:col>20</xdr:col>
                <xdr:colOff>257175</xdr:colOff>
                <xdr:row>100</xdr:row>
                <xdr:rowOff>9525</xdr:rowOff>
              </to>
            </anchor>
          </controlPr>
        </control>
      </mc:Choice>
      <mc:Fallback>
        <control shapeId="102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B4"/>
  <sheetViews>
    <sheetView workbookViewId="0">
      <selection activeCell="B4" sqref="B4"/>
    </sheetView>
  </sheetViews>
  <sheetFormatPr defaultRowHeight="16.5" x14ac:dyDescent="0.3"/>
  <sheetData>
    <row r="2" spans="2:2" x14ac:dyDescent="0.3">
      <c r="B2" s="121" t="s">
        <v>119</v>
      </c>
    </row>
    <row r="3" spans="2:2" x14ac:dyDescent="0.3">
      <c r="B3" s="121" t="s">
        <v>120</v>
      </c>
    </row>
    <row r="4" spans="2:2" x14ac:dyDescent="0.3">
      <c r="B4" s="121" t="s">
        <v>121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6"/>
  <sheetViews>
    <sheetView workbookViewId="0">
      <selection activeCell="C3" sqref="C3"/>
    </sheetView>
  </sheetViews>
  <sheetFormatPr defaultRowHeight="16.5" x14ac:dyDescent="0.3"/>
  <sheetData>
    <row r="1" spans="1:14" ht="23.25" x14ac:dyDescent="0.35">
      <c r="A1" s="138">
        <v>2019</v>
      </c>
    </row>
    <row r="2" spans="1:14" x14ac:dyDescent="0.3">
      <c r="A2" s="60" t="s">
        <v>69</v>
      </c>
      <c r="B2" s="19"/>
      <c r="C2" s="21"/>
      <c r="D2" s="21"/>
      <c r="E2" s="22"/>
      <c r="F2" s="22"/>
      <c r="G2" s="22"/>
      <c r="H2" s="22"/>
      <c r="I2" s="22"/>
      <c r="J2" s="22"/>
      <c r="K2" s="22"/>
      <c r="L2" s="22"/>
      <c r="M2" s="22"/>
      <c r="N2" s="66"/>
    </row>
    <row r="3" spans="1:14" x14ac:dyDescent="0.3">
      <c r="A3" s="124"/>
      <c r="B3" s="19"/>
      <c r="C3" s="68">
        <v>99</v>
      </c>
      <c r="D3" s="21"/>
      <c r="E3" s="22"/>
      <c r="F3" s="22"/>
      <c r="G3" s="22"/>
      <c r="H3" s="22"/>
      <c r="I3" s="22"/>
      <c r="J3" s="22"/>
      <c r="K3" s="22"/>
      <c r="L3" s="22"/>
      <c r="M3" s="22"/>
      <c r="N3" s="66"/>
    </row>
    <row r="4" spans="1:14" x14ac:dyDescent="0.3">
      <c r="A4" s="60" t="s">
        <v>96</v>
      </c>
      <c r="B4" s="61"/>
      <c r="C4" s="60"/>
      <c r="D4" s="60"/>
      <c r="E4" s="69"/>
      <c r="F4" s="69"/>
      <c r="G4" s="69"/>
      <c r="H4" s="69"/>
      <c r="I4" s="69"/>
      <c r="J4" s="69"/>
      <c r="K4" s="69"/>
      <c r="L4" s="69"/>
      <c r="M4" s="69"/>
      <c r="N4" s="70"/>
    </row>
    <row r="5" spans="1:14" x14ac:dyDescent="0.3">
      <c r="A5" s="60"/>
      <c r="B5" s="61"/>
      <c r="C5" s="72" t="s">
        <v>97</v>
      </c>
      <c r="D5" s="60"/>
      <c r="E5" s="69"/>
      <c r="F5" s="69"/>
      <c r="G5" s="69"/>
      <c r="H5" s="69"/>
      <c r="I5" s="69"/>
      <c r="J5" s="69"/>
      <c r="K5" s="69"/>
      <c r="L5" s="69"/>
      <c r="M5" s="69"/>
      <c r="N5" s="70"/>
    </row>
    <row r="6" spans="1:14" x14ac:dyDescent="0.3">
      <c r="A6" s="21"/>
      <c r="B6" s="22"/>
      <c r="C6" s="72"/>
      <c r="D6" s="72"/>
      <c r="E6" s="75"/>
      <c r="F6" s="75"/>
      <c r="G6" s="75"/>
      <c r="H6" s="75"/>
      <c r="I6" s="76"/>
      <c r="J6" s="75"/>
      <c r="K6" s="75"/>
      <c r="L6" s="75"/>
      <c r="M6" s="75"/>
      <c r="N6" s="77"/>
    </row>
    <row r="7" spans="1:14" x14ac:dyDescent="0.3">
      <c r="A7" s="79" t="s">
        <v>135</v>
      </c>
      <c r="B7" s="73"/>
      <c r="C7" s="80"/>
      <c r="D7" s="80"/>
      <c r="E7" s="81"/>
      <c r="F7" s="81"/>
      <c r="G7" s="75"/>
      <c r="H7" s="75"/>
      <c r="I7" s="76"/>
      <c r="J7" s="75"/>
      <c r="K7" s="75"/>
      <c r="L7" s="75"/>
      <c r="M7" s="75"/>
      <c r="N7" s="77"/>
    </row>
    <row r="8" spans="1:14" x14ac:dyDescent="0.3">
      <c r="A8" s="72"/>
      <c r="B8" s="73" t="s">
        <v>46</v>
      </c>
      <c r="C8" s="82">
        <v>95750</v>
      </c>
      <c r="D8" s="83"/>
      <c r="E8" s="84"/>
      <c r="F8" s="84"/>
      <c r="G8" s="84"/>
      <c r="H8" s="84"/>
      <c r="I8" s="84"/>
      <c r="J8" s="84"/>
      <c r="K8" s="84"/>
      <c r="L8" s="84"/>
      <c r="M8" s="85" t="s">
        <v>46</v>
      </c>
      <c r="N8" s="72">
        <f t="shared" ref="N8:N16" si="0">C8</f>
        <v>95750</v>
      </c>
    </row>
    <row r="9" spans="1:14" x14ac:dyDescent="0.3">
      <c r="A9" s="72"/>
      <c r="B9" s="73" t="s">
        <v>47</v>
      </c>
      <c r="C9" s="83">
        <v>102200</v>
      </c>
      <c r="D9" s="83"/>
      <c r="E9" s="75"/>
      <c r="F9" s="75"/>
      <c r="G9" s="75"/>
      <c r="H9" s="75"/>
      <c r="I9" s="75"/>
      <c r="J9" s="75"/>
      <c r="K9" s="75"/>
      <c r="L9" s="75"/>
      <c r="M9" s="73" t="s">
        <v>47</v>
      </c>
      <c r="N9" s="72">
        <f t="shared" si="0"/>
        <v>102200</v>
      </c>
    </row>
    <row r="10" spans="1:14" x14ac:dyDescent="0.3">
      <c r="A10" s="72"/>
      <c r="B10" s="73" t="s">
        <v>48</v>
      </c>
      <c r="C10" s="86">
        <v>73300</v>
      </c>
      <c r="D10" s="83"/>
      <c r="E10" s="75"/>
      <c r="F10" s="75"/>
      <c r="G10" s="75"/>
      <c r="H10" s="75"/>
      <c r="I10" s="75"/>
      <c r="J10" s="75"/>
      <c r="K10" s="75"/>
      <c r="L10" s="75"/>
      <c r="M10" s="73" t="s">
        <v>48</v>
      </c>
      <c r="N10" s="72">
        <f t="shared" si="0"/>
        <v>73300</v>
      </c>
    </row>
    <row r="11" spans="1:14" x14ac:dyDescent="0.3">
      <c r="A11" s="72"/>
      <c r="B11" s="73" t="s">
        <v>49</v>
      </c>
      <c r="C11" s="82">
        <v>65300</v>
      </c>
      <c r="D11" s="83"/>
      <c r="E11" s="75"/>
      <c r="F11" s="75"/>
      <c r="G11" s="75"/>
      <c r="H11" s="75"/>
      <c r="I11" s="75"/>
      <c r="J11" s="75"/>
      <c r="K11" s="75"/>
      <c r="L11" s="75"/>
      <c r="M11" s="73" t="s">
        <v>49</v>
      </c>
      <c r="N11" s="72">
        <f t="shared" si="0"/>
        <v>65300</v>
      </c>
    </row>
    <row r="12" spans="1:14" x14ac:dyDescent="0.3">
      <c r="A12" s="72"/>
      <c r="B12" s="73" t="s">
        <v>50</v>
      </c>
      <c r="C12" s="82">
        <v>59400</v>
      </c>
      <c r="D12" s="83"/>
      <c r="E12" s="75"/>
      <c r="F12" s="75"/>
      <c r="G12" s="75"/>
      <c r="H12" s="75"/>
      <c r="I12" s="75"/>
      <c r="J12" s="75"/>
      <c r="K12" s="75"/>
      <c r="L12" s="75"/>
      <c r="M12" s="73" t="s">
        <v>50</v>
      </c>
      <c r="N12" s="72">
        <f t="shared" si="0"/>
        <v>59400</v>
      </c>
    </row>
    <row r="13" spans="1:14" x14ac:dyDescent="0.3">
      <c r="A13" s="72"/>
      <c r="B13" s="73" t="s">
        <v>95</v>
      </c>
      <c r="C13" s="82">
        <v>49500</v>
      </c>
      <c r="D13" s="83"/>
      <c r="E13" s="75"/>
      <c r="F13" s="75"/>
      <c r="G13" s="75"/>
      <c r="H13" s="75"/>
      <c r="I13" s="75"/>
      <c r="J13" s="75"/>
      <c r="K13" s="75"/>
      <c r="L13" s="75"/>
      <c r="M13" s="73" t="s">
        <v>95</v>
      </c>
      <c r="N13" s="72">
        <f t="shared" si="0"/>
        <v>49500</v>
      </c>
    </row>
    <row r="14" spans="1:14" x14ac:dyDescent="0.3">
      <c r="A14" s="72"/>
      <c r="B14" s="73" t="s">
        <v>92</v>
      </c>
      <c r="C14" s="83">
        <v>0</v>
      </c>
      <c r="D14" s="83"/>
      <c r="E14" s="75"/>
      <c r="F14" s="75"/>
      <c r="G14" s="75"/>
      <c r="H14" s="75"/>
      <c r="I14" s="75"/>
      <c r="J14" s="75"/>
      <c r="K14" s="75"/>
      <c r="L14" s="75"/>
      <c r="M14" s="85" t="s">
        <v>92</v>
      </c>
      <c r="N14" s="72">
        <f t="shared" si="0"/>
        <v>0</v>
      </c>
    </row>
    <row r="15" spans="1:14" x14ac:dyDescent="0.3">
      <c r="A15" s="72"/>
      <c r="B15" s="73" t="s">
        <v>93</v>
      </c>
      <c r="C15" s="83">
        <v>0</v>
      </c>
      <c r="D15" s="83"/>
      <c r="E15" s="84"/>
      <c r="F15" s="84"/>
      <c r="G15" s="84"/>
      <c r="H15" s="84"/>
      <c r="I15" s="84"/>
      <c r="J15" s="84"/>
      <c r="K15" s="84"/>
      <c r="L15" s="84"/>
      <c r="M15" s="85" t="s">
        <v>93</v>
      </c>
      <c r="N15" s="72">
        <f t="shared" si="0"/>
        <v>0</v>
      </c>
    </row>
    <row r="16" spans="1:14" x14ac:dyDescent="0.3">
      <c r="A16" s="72"/>
      <c r="B16" s="73" t="s">
        <v>51</v>
      </c>
      <c r="C16" s="86">
        <v>26500</v>
      </c>
      <c r="D16" s="83"/>
      <c r="E16" s="84"/>
      <c r="F16" s="84"/>
      <c r="G16" s="84"/>
      <c r="H16" s="84"/>
      <c r="I16" s="84"/>
      <c r="J16" s="84"/>
      <c r="K16" s="84"/>
      <c r="L16" s="84"/>
      <c r="M16" s="85" t="s">
        <v>51</v>
      </c>
      <c r="N16" s="72">
        <f t="shared" si="0"/>
        <v>26500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40</vt:i4>
      </vt:variant>
    </vt:vector>
  </HeadingPairs>
  <TitlesOfParts>
    <vt:vector size="43" baseType="lpstr">
      <vt:lpstr>workscope_exhibits</vt:lpstr>
      <vt:lpstr>LookUps</vt:lpstr>
      <vt:lpstr>prior_salary_schedules</vt:lpstr>
      <vt:lpstr>direct_salary_cell</vt:lpstr>
      <vt:lpstr>direct_salary_column</vt:lpstr>
      <vt:lpstr>first_schedule_column</vt:lpstr>
      <vt:lpstr>funding_list_bottom</vt:lpstr>
      <vt:lpstr>funding_list_top</vt:lpstr>
      <vt:lpstr>last_schedule_column</vt:lpstr>
      <vt:lpstr>m1_column</vt:lpstr>
      <vt:lpstr>milestone_label_column</vt:lpstr>
      <vt:lpstr>milestone_list_first_row</vt:lpstr>
      <vt:lpstr>milestone_name_column</vt:lpstr>
      <vt:lpstr>odc_cell</vt:lpstr>
      <vt:lpstr>odc_consultants_line</vt:lpstr>
      <vt:lpstr>odc_dp_equipment_line</vt:lpstr>
      <vt:lpstr>odc_office_equipment_line</vt:lpstr>
      <vt:lpstr>odc_other_line</vt:lpstr>
      <vt:lpstr>odc_printing_line</vt:lpstr>
      <vt:lpstr>odc_travel_line</vt:lpstr>
      <vt:lpstr>Overhead</vt:lpstr>
      <vt:lpstr>overhead_cell</vt:lpstr>
      <vt:lpstr>overhead_column</vt:lpstr>
      <vt:lpstr>p1_column</vt:lpstr>
      <vt:lpstr>p2_column</vt:lpstr>
      <vt:lpstr>p3_column</vt:lpstr>
      <vt:lpstr>p4_column</vt:lpstr>
      <vt:lpstr>p5_column</vt:lpstr>
      <vt:lpstr>workscope_exhibits!Print_Area</vt:lpstr>
      <vt:lpstr>project_name_cell</vt:lpstr>
      <vt:lpstr>Salary</vt:lpstr>
      <vt:lpstr>sched_major_units_cell</vt:lpstr>
      <vt:lpstr>sp1_column</vt:lpstr>
      <vt:lpstr>sp3_column</vt:lpstr>
      <vt:lpstr>task_list_bottom</vt:lpstr>
      <vt:lpstr>task_list_top</vt:lpstr>
      <vt:lpstr>task_name_column</vt:lpstr>
      <vt:lpstr>task_number_column</vt:lpstr>
      <vt:lpstr>temp_column</vt:lpstr>
      <vt:lpstr>total_column</vt:lpstr>
      <vt:lpstr>total_cost_cell</vt:lpstr>
      <vt:lpstr>total_cost_column</vt:lpstr>
      <vt:lpstr>total_line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Benjamin Krepp</dc:creator>
  <cp:lastModifiedBy>dknudsen</cp:lastModifiedBy>
  <cp:lastPrinted>2018-07-30T19:00:32Z</cp:lastPrinted>
  <dcterms:created xsi:type="dcterms:W3CDTF">2002-07-30T15:31:37Z</dcterms:created>
  <dcterms:modified xsi:type="dcterms:W3CDTF">2019-08-06T15:18:27Z</dcterms:modified>
</cp:coreProperties>
</file>